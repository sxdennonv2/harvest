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drawings/drawing1.xml" ContentType="application/vnd.openxmlformats-officedocument.drawing+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References" sheetId="2" state="visible" r:id="rId2"/>
    <sheet name="Tables" sheetId="3" state="visible" r:id="rId3"/>
    <sheet name="Sort &amp; Filter" sheetId="4" state="visible" r:id="rId4"/>
    <sheet name="Sort &amp; Filter soln" sheetId="5" state="hidden" r:id="rId5"/>
    <sheet name="Data validation" sheetId="6" state="visible" r:id="rId6"/>
    <sheet name="Data validation soln" sheetId="7" state="hidden" r:id="rId7"/>
    <sheet name="Text formulas" sheetId="8" state="visible" r:id="rId8"/>
    <sheet name="Text formulas soln" sheetId="9" state="hidden" r:id="rId9"/>
    <sheet name="Power Query" sheetId="10" state="visible" r:id="rId10"/>
    <sheet name="Power Query soln" sheetId="11" state="hidden" r:id="rId11"/>
    <sheet name="Logical &amp; IFERROR" sheetId="12" state="visible" r:id="rId12"/>
    <sheet name="Logical &amp; IFERROR soln" sheetId="13" state="hidden" r:id="rId13"/>
    <sheet name="Aggregation" sheetId="14" state="visible" r:id="rId14"/>
    <sheet name="Aggregation soln" sheetId="15" state="hidden" r:id="rId15"/>
    <sheet name="SUMIFS" sheetId="16" state="visible" r:id="rId16"/>
    <sheet name="SUMIFS soln" sheetId="17" state="hidden" r:id="rId17"/>
    <sheet name="XLOOKUP" sheetId="18" state="visible" r:id="rId18"/>
    <sheet name="XLOOKUP soln" sheetId="19" state="hidden" r:id="rId19"/>
    <sheet name="Dates" sheetId="20" state="visible" r:id="rId20"/>
    <sheet name="Dates soln" sheetId="21" state="hidden" r:id="rId21"/>
    <sheet name="PivotTable" sheetId="22" state="visible" r:id="rId22"/>
    <sheet name="Slicers" sheetId="23" state="visible" r:id="rId23"/>
    <sheet name="Dynamic arrays" sheetId="24" state="visible" r:id="rId24"/>
    <sheet name="Dynamic arrays soln" sheetId="25" state="hidden" r:id="rId25"/>
    <sheet name="Number formatting" sheetId="26" state="visible" r:id="rId26"/>
    <sheet name="Number formatting soln" sheetId="27" state="hidden" r:id="rId27"/>
    <sheet name="Conditional format" sheetId="28" state="visible" r:id="rId28"/>
    <sheet name="Conditional format soln" sheetId="29" state="hidden" r:id="rId29"/>
    <sheet name="Chart" sheetId="30" state="visible" r:id="rId30"/>
    <sheet name="Chart soln" sheetId="31" state="hidden" r:id="rId31"/>
    <sheet name="Print ready" sheetId="32" state="visible" r:id="rId32"/>
    <sheet name="Print soln" sheetId="33" state="hidden" r:id="rId33"/>
    <sheet name="Flash Fill" sheetId="34" state="visible" r:id="rId34"/>
    <sheet name="Flash Fill soln" sheetId="35" state="hidden" r:id="rId35"/>
    <sheet name="Named ranges" sheetId="36" state="visible" r:id="rId36"/>
    <sheet name="Named ranges soln" sheetId="37" state="hidden" r:id="rId37"/>
  </sheets>
  <definedNames>
    <definedName name="Rate">'Tables'!$F$1</definedName>
    <definedName name="Revenue">'Named ranges soln'!$B$2:$B$11</definedName>
    <definedName name="_xlnm._FilterDatabase" localSheetId="4" hidden="1">'Sort &amp; Filter soln'!$A$1:$F$19</definedName>
    <definedName name="_xlnm.Print_Titles" localSheetId="32">'Print soln'!$1:$1</definedName>
    <definedName name="_xlnm.Print_Area" localSheetId="32">'Print soln'!$A$1:$F$13</definedName>
  </definedNames>
  <calcPr calcId="124519" fullCalcOnLoad="1"/>
</workbook>
</file>

<file path=xl/styles.xml><?xml version="1.0" encoding="utf-8"?>
<styleSheet xmlns="http://schemas.openxmlformats.org/spreadsheetml/2006/main">
  <numFmts count="5">
    <numFmt numFmtId="164" formatCode="yyyy-mm-dd"/>
    <numFmt numFmtId="165" formatCode="$#,##0"/>
    <numFmt numFmtId="166" formatCode="0.0%"/>
    <numFmt numFmtId="167" formatCode="dd mmm yyyy"/>
    <numFmt numFmtId="168" formatCode="#,##0;[Red](#,##0)"/>
  </numFmts>
  <fonts count="5">
    <font>
      <name val="Calibri"/>
      <family val="2"/>
      <color theme="1"/>
      <sz val="11"/>
      <scheme val="minor"/>
    </font>
    <font>
      <b val="1"/>
      <color rgb="001A7A4C"/>
      <sz val="16"/>
    </font>
    <font>
      <b val="1"/>
    </font>
    <font>
      <b val="1"/>
      <color rgb="00FFFFFF"/>
    </font>
    <font>
      <b val="1"/>
      <color rgb="009A6A00"/>
    </font>
  </fonts>
  <fills count="5">
    <fill>
      <patternFill/>
    </fill>
    <fill>
      <patternFill patternType="gray125"/>
    </fill>
    <fill>
      <patternFill patternType="solid">
        <fgColor rgb="001A7A4C"/>
      </patternFill>
    </fill>
    <fill>
      <patternFill patternType="solid">
        <fgColor rgb="00E7F2EC"/>
      </patternFill>
    </fill>
    <fill>
      <patternFill patternType="solid">
        <fgColor rgb="00FFF4CE"/>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xf>
    <xf numFmtId="2" fontId="2" fillId="3" borderId="0" pivotButton="0" quotePrefix="0" xfId="0"/>
    <xf numFmtId="2" fontId="0" fillId="0" borderId="0" pivotButton="0" quotePrefix="0" xfId="0"/>
    <xf numFmtId="0" fontId="4" fillId="0" borderId="0" pivotButton="0" quotePrefix="0" xfId="0"/>
    <xf numFmtId="0" fontId="0" fillId="4" borderId="0" applyAlignment="1" pivotButton="0" quotePrefix="0" xfId="0">
      <alignment vertical="top" wrapText="1"/>
    </xf>
    <xf numFmtId="4" fontId="0" fillId="0" borderId="0" pivotButton="0" quotePrefix="0" xfId="0"/>
    <xf numFmtId="3" fontId="0" fillId="0" borderId="0" pivotButton="0" quotePrefix="0" xfId="0"/>
    <xf numFmtId="167"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8" fontId="0" fillId="0" borderId="0" pivotButton="0" quotePrefix="0" xfId="0"/>
    <xf numFmtId="9" fontId="0" fillId="0" borderId="0" pivotButton="0" quotePrefix="0" xfId="0"/>
  </cellXfs>
  <cellStyles count="1">
    <cellStyle name="Normal" xfId="0" builtinId="0" hidden="0"/>
  </cellStyles>
  <dxfs count="1">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styles" Target="styles.xml" Id="rId38" /><Relationship Type="http://schemas.openxmlformats.org/officeDocument/2006/relationships/theme" Target="theme/theme1.xml" Id="rId39" /></Relationships>
</file>

<file path=xl/charts/chart1.xml><?xml version="1.0" encoding="utf-8"?>
<chartSpace xmlns:a="http://schemas.openxmlformats.org/drawingml/2006/main" xmlns="http://schemas.openxmlformats.org/drawingml/2006/chart">
  <chart>
    <title>
      <tx>
        <rich>
          <a:bodyPr/>
          <a:p>
            <a:pPr>
              <a:defRPr/>
            </a:pPr>
            <a:r>
              <a:t>Revenue by category</a:t>
            </a:r>
          </a:p>
        </rich>
      </tx>
    </title>
    <plotArea>
      <barChart>
        <barDir val="col"/>
        <grouping val="clustered"/>
        <ser>
          <idx val="0"/>
          <order val="0"/>
          <tx>
            <strRef>
              <f>'Chart soln'!B1</f>
            </strRef>
          </tx>
          <spPr>
            <a:ln>
              <a:prstDash val="solid"/>
            </a:ln>
          </spPr>
          <cat>
            <numRef>
              <f>'Chart soln'!$A$2:$A$5</f>
            </numRef>
          </cat>
          <val>
            <numRef>
              <f>'Chart soln'!$B$2:$B$5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Revenue (AUD)</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468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22" customWidth="1" min="1" max="1"/>
    <col width="56" customWidth="1" min="2" max="2"/>
  </cols>
  <sheetData>
    <row r="1">
      <c r="A1" s="1" t="inlineStr">
        <is>
          <t>Excel to a High Standard — Course Workbook</t>
        </is>
      </c>
    </row>
    <row r="3">
      <c r="A3" t="inlineStr">
        <is>
          <t>One file for the whole course. Each lesson has its own tab with the data ready to go.</t>
        </is>
      </c>
    </row>
    <row r="4">
      <c r="A4" s="2" t="inlineStr">
        <is>
          <t>How to use each lesson:</t>
        </is>
      </c>
    </row>
    <row r="5">
      <c r="A5" t="inlineStr">
        <is>
          <t>1. Open this workbook and click the lesson's tab (starter data is already set up).</t>
        </is>
      </c>
    </row>
    <row r="6">
      <c r="A6" t="inlineStr">
        <is>
          <t>2. Do the task yourself first — the 'Your task' note on each tab tells you what to build.</t>
        </is>
      </c>
    </row>
    <row r="7">
      <c r="A7" t="inlineStr">
        <is>
          <t>3. Then copy the Microsoft 365 Copilot prompt from the lesson and watch it do the same task on this tab.</t>
        </is>
      </c>
    </row>
    <row r="8">
      <c r="A8" t="inlineStr">
        <is>
          <t>4. Then copy the GitHub Copilot prompt and watch an agent build it from scratch.</t>
        </is>
      </c>
    </row>
    <row r="11">
      <c r="A11" s="2" t="inlineStr">
        <is>
          <t>Lesson tabs</t>
        </is>
      </c>
    </row>
    <row r="12">
      <c r="A12" s="3" t="inlineStr">
        <is>
          <t>Tab</t>
        </is>
      </c>
      <c r="B12" s="3" t="inlineStr">
        <is>
          <t>Lesson</t>
        </is>
      </c>
    </row>
    <row r="13">
      <c r="A13" t="inlineStr">
        <is>
          <t>References</t>
        </is>
      </c>
      <c r="B13" t="inlineStr">
        <is>
          <t>Lesson 0001 — Relative &amp; absolute references</t>
        </is>
      </c>
    </row>
    <row r="14">
      <c r="A14" t="inlineStr">
        <is>
          <t>Tables</t>
        </is>
      </c>
      <c r="B14" t="inlineStr">
        <is>
          <t>Lesson 0002 — Tables: the modern foundation</t>
        </is>
      </c>
    </row>
    <row r="15">
      <c r="A15" t="inlineStr">
        <is>
          <t>Sort &amp; Filter</t>
        </is>
      </c>
      <c r="B15" t="inlineStr">
        <is>
          <t>Lesson 0003 — Sort &amp; Filter: order and isolate</t>
        </is>
      </c>
    </row>
    <row r="16">
      <c r="A16" t="inlineStr">
        <is>
          <t>Data validation</t>
        </is>
      </c>
      <c r="B16" t="inlineStr">
        <is>
          <t>Lesson 0004 — Data validation: controlled dropdowns</t>
        </is>
      </c>
    </row>
    <row r="17">
      <c r="A17" t="inlineStr">
        <is>
          <t>Text formulas</t>
        </is>
      </c>
      <c r="B17" t="inlineStr">
        <is>
          <t>Lesson 0005 — Text formulas: clean &amp; combine</t>
        </is>
      </c>
    </row>
    <row r="18">
      <c r="A18" t="inlineStr">
        <is>
          <t>Power Query</t>
        </is>
      </c>
      <c r="B18" t="inlineStr">
        <is>
          <t>Lesson 0006 — Get &amp; Transform (Power Query)</t>
        </is>
      </c>
    </row>
    <row r="19">
      <c r="A19" t="inlineStr">
        <is>
          <t>Logical &amp; IFERROR</t>
        </is>
      </c>
      <c r="B19" t="inlineStr">
        <is>
          <t>Lesson 0007 — Logical functions &amp; IFERROR</t>
        </is>
      </c>
    </row>
    <row r="20">
      <c r="A20" t="inlineStr">
        <is>
          <t>Aggregation</t>
        </is>
      </c>
      <c r="B20" t="inlineStr">
        <is>
          <t>Lesson 0008 — Aggregation &amp; precision</t>
        </is>
      </c>
    </row>
    <row r="21">
      <c r="A21" t="inlineStr">
        <is>
          <t>SUMIFS</t>
        </is>
      </c>
      <c r="B21" t="inlineStr">
        <is>
          <t>Lesson 0009 — SUMIFS: totals by criteria</t>
        </is>
      </c>
    </row>
    <row r="22">
      <c r="A22" t="inlineStr">
        <is>
          <t>XLOOKUP</t>
        </is>
      </c>
      <c r="B22" t="inlineStr">
        <is>
          <t>Lesson 0010 — XLOOKUP: pull matching details</t>
        </is>
      </c>
    </row>
    <row r="23">
      <c r="A23" t="inlineStr">
        <is>
          <t>Dates</t>
        </is>
      </c>
      <c r="B23" t="inlineStr">
        <is>
          <t>Lesson 0011 — Date &amp; time functions</t>
        </is>
      </c>
    </row>
    <row r="24">
      <c r="A24" t="inlineStr">
        <is>
          <t>PivotTable</t>
        </is>
      </c>
      <c r="B24" t="inlineStr">
        <is>
          <t>Lesson 0012 — PivotTables: summarise in seconds</t>
        </is>
      </c>
    </row>
    <row r="25">
      <c r="A25" t="inlineStr">
        <is>
          <t>Slicers</t>
        </is>
      </c>
      <c r="B25" t="inlineStr">
        <is>
          <t>Lesson 0012.1 — Slicers: swap the dropdowns for sliders</t>
        </is>
      </c>
    </row>
    <row r="26">
      <c r="A26" t="inlineStr">
        <is>
          <t>Dynamic arrays</t>
        </is>
      </c>
      <c r="B26" t="inlineStr">
        <is>
          <t>Lesson 0013 — Dynamic arrays: FILTER, SORT &amp; UNIQUE</t>
        </is>
      </c>
    </row>
    <row r="27">
      <c r="A27" t="inlineStr">
        <is>
          <t>Number formatting</t>
        </is>
      </c>
      <c r="B27" t="inlineStr">
        <is>
          <t>Lesson 0014 — Number &amp; custom formatting</t>
        </is>
      </c>
    </row>
    <row r="28">
      <c r="A28" t="inlineStr">
        <is>
          <t>Conditional format</t>
        </is>
      </c>
      <c r="B28" t="inlineStr">
        <is>
          <t>Lesson 0015 — Conditional formatting: make numbers signal</t>
        </is>
      </c>
    </row>
    <row r="29">
      <c r="A29" t="inlineStr">
        <is>
          <t>Chart</t>
        </is>
      </c>
      <c r="B29" t="inlineStr">
        <is>
          <t>Lesson 0016 — Charts: a clean column chart</t>
        </is>
      </c>
    </row>
    <row r="30">
      <c r="A30" t="inlineStr">
        <is>
          <t>Print ready</t>
        </is>
      </c>
      <c r="B30" t="inlineStr">
        <is>
          <t>Lesson 0017 — Print- &amp; export-ready tables</t>
        </is>
      </c>
    </row>
    <row r="31">
      <c r="A31" t="inlineStr">
        <is>
          <t>Flash Fill</t>
        </is>
      </c>
      <c r="B31" t="inlineStr">
        <is>
          <t>Lesson 0018 — Flash Fill &amp; Text to Columns</t>
        </is>
      </c>
    </row>
    <row r="32">
      <c r="A32" t="inlineStr">
        <is>
          <t>Named ranges</t>
        </is>
      </c>
      <c r="B32" t="inlineStr">
        <is>
          <t>Lesson 0019 — Named ranges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18" customWidth="1" min="3" max="3"/>
    <col width="14" customWidth="1" min="5" max="5"/>
    <col width="12" customWidth="1" min="6" max="6"/>
    <col width="12" customWidth="1" min="7" max="7"/>
    <col width="12" customWidth="1" min="8" max="8"/>
  </cols>
  <sheetData>
    <row r="1">
      <c r="A1" s="3" t="inlineStr">
        <is>
          <t>Product</t>
        </is>
      </c>
      <c r="B1" s="3" t="inlineStr">
        <is>
          <t>Case cost (GBP)</t>
        </is>
      </c>
      <c r="C1" s="3" t="inlineStr">
        <is>
          <t>Landed cost (AUD)</t>
        </is>
      </c>
      <c r="E1" s="2" t="inlineStr">
        <is>
          <t>Exchange rate (GBP to AUD)</t>
        </is>
      </c>
      <c r="F1" s="4" t="n">
        <v>1.92</v>
      </c>
    </row>
    <row r="2">
      <c r="A2" t="inlineStr">
        <is>
          <t>Stacked Chips 12pk 300g</t>
        </is>
      </c>
      <c r="B2" s="5" t="n">
        <v>14.5</v>
      </c>
    </row>
    <row r="3">
      <c r="A3" t="inlineStr">
        <is>
          <t>Noodle Snaks 12pk 250g</t>
        </is>
      </c>
      <c r="B3" s="5" t="n">
        <v>11.2</v>
      </c>
      <c r="E3" s="6" t="inlineStr">
        <is>
          <t>Your task</t>
        </is>
      </c>
    </row>
    <row r="4">
      <c r="A4" t="inlineStr">
        <is>
          <t>Rice Crackers 24pk 100g</t>
        </is>
      </c>
      <c r="B4" s="5" t="n">
        <v>18.75</v>
      </c>
      <c r="E4" s="7" t="inlineStr">
        <is>
          <t>In C2 type  =B2*$F$1  then fill down to C11. Change the rate in F1 and watch every row recalculate.</t>
        </is>
      </c>
    </row>
    <row r="5">
      <c r="A5" t="inlineStr">
        <is>
          <t>Salted Pretzels 16pk 200g</t>
        </is>
      </c>
      <c r="B5" s="5" t="n">
        <v>9.800000000000001</v>
      </c>
    </row>
    <row r="6">
      <c r="A6" t="inlineStr">
        <is>
          <t>Corn Puffs 12pk 150g</t>
        </is>
      </c>
      <c r="B6" s="5" t="n">
        <v>12.4</v>
      </c>
    </row>
    <row r="7">
      <c r="A7" t="inlineStr">
        <is>
          <t>Veggie Straws 12pk 120g</t>
        </is>
      </c>
      <c r="B7" s="5" t="n">
        <v>13.6</v>
      </c>
    </row>
    <row r="8">
      <c r="A8" t="inlineStr">
        <is>
          <t>Popcorn 10pk 100g</t>
        </is>
      </c>
      <c r="B8" s="5" t="n">
        <v>8.5</v>
      </c>
    </row>
    <row r="9">
      <c r="A9" t="inlineStr">
        <is>
          <t>Cheese Twists 16pk 180g</t>
        </is>
      </c>
      <c r="B9" s="5" t="n">
        <v>10.9</v>
      </c>
    </row>
    <row r="10">
      <c r="A10" t="inlineStr">
        <is>
          <t>Pretzel Bites 20pk 220g</t>
        </is>
      </c>
      <c r="B10" s="5" t="n">
        <v>15.3</v>
      </c>
    </row>
    <row r="11">
      <c r="A11" t="inlineStr">
        <is>
          <t>Tortilla Rounds 12pk 330g</t>
        </is>
      </c>
      <c r="B11" s="5" t="n">
        <v>16.2</v>
      </c>
    </row>
  </sheetData>
  <mergeCells count="1">
    <mergeCell ref="E4:H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18" customWidth="1" min="3" max="3"/>
    <col width="14" customWidth="1" min="5" max="5"/>
    <col width="12" customWidth="1" min="6" max="6"/>
    <col width="12" customWidth="1" min="7" max="7"/>
    <col width="12" customWidth="1" min="8" max="8"/>
  </cols>
  <sheetData>
    <row r="1">
      <c r="A1" s="3" t="inlineStr">
        <is>
          <t>Product</t>
        </is>
      </c>
      <c r="B1" s="3" t="inlineStr">
        <is>
          <t>Case cost (GBP)</t>
        </is>
      </c>
      <c r="E1" s="2" t="inlineStr">
        <is>
          <t>Rate</t>
        </is>
      </c>
      <c r="F1" s="4" t="n">
        <v>1.92</v>
      </c>
    </row>
    <row r="2">
      <c r="A2" t="inlineStr">
        <is>
          <t>Cheddar Cheese 500g</t>
        </is>
      </c>
      <c r="B2" s="5" t="n">
        <v>24.5</v>
      </c>
    </row>
    <row r="3">
      <c r="A3" t="inlineStr">
        <is>
          <t>Sourdough Loaf 800g</t>
        </is>
      </c>
      <c r="B3" s="5" t="n">
        <v>18.75</v>
      </c>
      <c r="E3" s="6" t="inlineStr">
        <is>
          <t>Your task</t>
        </is>
      </c>
    </row>
    <row r="4">
      <c r="A4" t="inlineStr">
        <is>
          <t>Free-range Eggs 12pk</t>
        </is>
      </c>
      <c r="B4" s="5" t="n">
        <v>12.2</v>
      </c>
      <c r="E4" s="7" t="inlineStr">
        <is>
          <t>Click the data, press Ctrl+T, name it Products on the Table Design tab. Add a Landed cost column:  =[@[Case cost (GBP)]]*Rate  — it fills down by itself.</t>
        </is>
      </c>
    </row>
    <row r="5">
      <c r="A5" t="inlineStr">
        <is>
          <t>Salted Butter 250g</t>
        </is>
      </c>
      <c r="B5" s="5" t="n">
        <v>15.9</v>
      </c>
    </row>
    <row r="6">
      <c r="A6" t="inlineStr">
        <is>
          <t>Greek Yoghurt 1kg</t>
        </is>
      </c>
      <c r="B6" s="5" t="n">
        <v>6.4</v>
      </c>
    </row>
    <row r="7">
      <c r="A7" t="inlineStr">
        <is>
          <t>Orange Juice 2L</t>
        </is>
      </c>
      <c r="B7" s="5" t="n">
        <v>4.8</v>
      </c>
    </row>
    <row r="8">
      <c r="A8" t="inlineStr">
        <is>
          <t>Chicken Breast 1kg</t>
        </is>
      </c>
      <c r="B8" s="5" t="n">
        <v>11.5</v>
      </c>
    </row>
    <row r="9">
      <c r="A9" t="inlineStr">
        <is>
          <t>Basmati Rice 5kg</t>
        </is>
      </c>
      <c r="B9" s="5" t="n">
        <v>13.2</v>
      </c>
    </row>
    <row r="10">
      <c r="A10" t="inlineStr">
        <is>
          <t>Olive Oil 1L</t>
        </is>
      </c>
      <c r="B10" s="5" t="n">
        <v>9.75</v>
      </c>
    </row>
    <row r="11">
      <c r="A11" t="inlineStr">
        <is>
          <t>Dark Chocolate 200g</t>
        </is>
      </c>
      <c r="B11" s="5" t="n">
        <v>3.9</v>
      </c>
    </row>
  </sheetData>
  <mergeCells count="1">
    <mergeCell ref="E4:H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26" customWidth="1" min="4" max="4"/>
    <col width="9" customWidth="1" min="5" max="5"/>
    <col width="15" customWidth="1" min="6" max="6"/>
    <col width="16" customWidth="1" min="8" max="8"/>
    <col width="12" customWidth="1" min="9" max="9"/>
    <col width="12" customWidth="1" min="10" max="10"/>
    <col width="12" customWidth="1" min="11" max="11"/>
    <col width="12" customWidth="1" min="12" max="12"/>
  </cols>
  <sheetData>
    <row r="1">
      <c r="A1" s="3" t="inlineStr">
        <is>
          <t>Month</t>
        </is>
      </c>
      <c r="B1" s="3" t="inlineStr">
        <is>
          <t>Category</t>
        </is>
      </c>
      <c r="C1" s="3" t="inlineStr">
        <is>
          <t>Supplier</t>
        </is>
      </c>
      <c r="D1" s="3" t="inlineStr">
        <is>
          <t>Product</t>
        </is>
      </c>
      <c r="E1" s="3" t="inlineStr">
        <is>
          <t>Cases</t>
        </is>
      </c>
      <c r="F1" s="3" t="inlineStr">
        <is>
          <t>Revenue (AUD)</t>
        </is>
      </c>
      <c r="H1" s="6" t="inlineStr">
        <is>
          <t>Your task</t>
        </is>
      </c>
    </row>
    <row r="2">
      <c r="A2" t="inlineStr">
        <is>
          <t>Jan</t>
        </is>
      </c>
      <c r="B2" t="inlineStr">
        <is>
          <t>Snacks</t>
        </is>
      </c>
      <c r="C2" t="inlineStr">
        <is>
          <t>Acme Foods</t>
        </is>
      </c>
      <c r="D2" t="inlineStr">
        <is>
          <t>Stacked Chips 12pk 300g</t>
        </is>
      </c>
      <c r="E2" t="n">
        <v>120</v>
      </c>
      <c r="F2" s="8" t="n">
        <v>3480</v>
      </c>
      <c r="H2" s="7" t="inlineStr">
        <is>
          <t>Press Ctrl+Shift+L to switch on the filter arrows. Open the Revenue (AUD) dropdown and Sort Largest to Smallest, then open the Category dropdown and tick only Snacks. Clear the filter to bring every row back — filtering hides, it never deletes.</t>
        </is>
      </c>
    </row>
    <row r="3">
      <c r="A3" t="inlineStr">
        <is>
          <t>Jan</t>
        </is>
      </c>
      <c r="B3" t="inlineStr">
        <is>
          <t>Snacks</t>
        </is>
      </c>
      <c r="C3" t="inlineStr">
        <is>
          <t>Acme Foods</t>
        </is>
      </c>
      <c r="D3" t="inlineStr">
        <is>
          <t>Corn Puffs 12pk 150g</t>
        </is>
      </c>
      <c r="E3" t="n">
        <v>90</v>
      </c>
      <c r="F3" s="8" t="n">
        <v>2232</v>
      </c>
    </row>
    <row r="4">
      <c r="A4" t="inlineStr">
        <is>
          <t>Jan</t>
        </is>
      </c>
      <c r="B4" t="inlineStr">
        <is>
          <t>Bakery</t>
        </is>
      </c>
      <c r="C4" t="inlineStr">
        <is>
          <t>BrightHarvest</t>
        </is>
      </c>
      <c r="D4" t="inlineStr">
        <is>
          <t>Sourdough Loaf 800g</t>
        </is>
      </c>
      <c r="E4" t="n">
        <v>60</v>
      </c>
      <c r="F4" s="8" t="n">
        <v>2160</v>
      </c>
    </row>
    <row r="5">
      <c r="A5" t="inlineStr">
        <is>
          <t>Jan</t>
        </is>
      </c>
      <c r="B5" t="inlineStr">
        <is>
          <t>Dairy</t>
        </is>
      </c>
      <c r="C5" t="inlineStr">
        <is>
          <t>Coastal Co</t>
        </is>
      </c>
      <c r="D5" t="inlineStr">
        <is>
          <t>Cheddar Cheese 500g</t>
        </is>
      </c>
      <c r="E5" t="n">
        <v>45</v>
      </c>
      <c r="F5" s="8" t="n">
        <v>2205</v>
      </c>
    </row>
    <row r="6">
      <c r="A6" t="inlineStr">
        <is>
          <t>Jan</t>
        </is>
      </c>
      <c r="B6" t="inlineStr">
        <is>
          <t>Produce</t>
        </is>
      </c>
      <c r="C6" t="inlineStr">
        <is>
          <t>GreenField</t>
        </is>
      </c>
      <c r="D6" t="inlineStr">
        <is>
          <t>Free-range Eggs 12pk</t>
        </is>
      </c>
      <c r="E6" t="n">
        <v>80</v>
      </c>
      <c r="F6" s="8" t="n">
        <v>1952</v>
      </c>
    </row>
    <row r="7">
      <c r="A7" t="inlineStr">
        <is>
          <t>Feb</t>
        </is>
      </c>
      <c r="B7" t="inlineStr">
        <is>
          <t>Snacks</t>
        </is>
      </c>
      <c r="C7" t="inlineStr">
        <is>
          <t>Acme Foods</t>
        </is>
      </c>
      <c r="D7" t="inlineStr">
        <is>
          <t>Stacked Chips 12pk 300g</t>
        </is>
      </c>
      <c r="E7" t="n">
        <v>140</v>
      </c>
      <c r="F7" s="8" t="n">
        <v>4060</v>
      </c>
    </row>
    <row r="8">
      <c r="A8" t="inlineStr">
        <is>
          <t>Feb</t>
        </is>
      </c>
      <c r="B8" t="inlineStr">
        <is>
          <t>Snacks</t>
        </is>
      </c>
      <c r="C8" t="inlineStr">
        <is>
          <t>Harvest Lane</t>
        </is>
      </c>
      <c r="D8" t="inlineStr">
        <is>
          <t>Rice Crackers 24pk 100g</t>
        </is>
      </c>
      <c r="E8" t="n">
        <v>70</v>
      </c>
      <c r="F8" s="8" t="n">
        <v>2625</v>
      </c>
    </row>
    <row r="9">
      <c r="A9" t="inlineStr">
        <is>
          <t>Feb</t>
        </is>
      </c>
      <c r="B9" t="inlineStr">
        <is>
          <t>Bakery</t>
        </is>
      </c>
      <c r="C9" t="inlineStr">
        <is>
          <t>BrightHarvest</t>
        </is>
      </c>
      <c r="D9" t="inlineStr">
        <is>
          <t>Sourdough Loaf 800g</t>
        </is>
      </c>
      <c r="E9" t="n">
        <v>75</v>
      </c>
      <c r="F9" s="8" t="n">
        <v>2700</v>
      </c>
    </row>
    <row r="10">
      <c r="A10" t="inlineStr">
        <is>
          <t>Feb</t>
        </is>
      </c>
      <c r="B10" t="inlineStr">
        <is>
          <t>Dairy</t>
        </is>
      </c>
      <c r="C10" t="inlineStr">
        <is>
          <t>Coastal Co</t>
        </is>
      </c>
      <c r="D10" t="inlineStr">
        <is>
          <t>Salted Butter 250g</t>
        </is>
      </c>
      <c r="E10" t="n">
        <v>55</v>
      </c>
      <c r="F10" s="8" t="n">
        <v>1749</v>
      </c>
    </row>
    <row r="11">
      <c r="A11" t="inlineStr">
        <is>
          <t>Feb</t>
        </is>
      </c>
      <c r="B11" t="inlineStr">
        <is>
          <t>Dairy</t>
        </is>
      </c>
      <c r="C11" t="inlineStr">
        <is>
          <t>Coastal Co</t>
        </is>
      </c>
      <c r="D11" t="inlineStr">
        <is>
          <t>Greek Yoghurt 1kg</t>
        </is>
      </c>
      <c r="E11" t="n">
        <v>65</v>
      </c>
      <c r="F11" s="8" t="n">
        <v>1248</v>
      </c>
    </row>
    <row r="12">
      <c r="A12" t="inlineStr">
        <is>
          <t>Feb</t>
        </is>
      </c>
      <c r="B12" t="inlineStr">
        <is>
          <t>Produce</t>
        </is>
      </c>
      <c r="C12" t="inlineStr">
        <is>
          <t>GreenField</t>
        </is>
      </c>
      <c r="D12" t="inlineStr">
        <is>
          <t>Free-range Eggs 12pk</t>
        </is>
      </c>
      <c r="E12" t="n">
        <v>95</v>
      </c>
      <c r="F12" s="8" t="n">
        <v>2318</v>
      </c>
    </row>
    <row r="13">
      <c r="A13" t="inlineStr">
        <is>
          <t>Mar</t>
        </is>
      </c>
      <c r="B13" t="inlineStr">
        <is>
          <t>Snacks</t>
        </is>
      </c>
      <c r="C13" t="inlineStr">
        <is>
          <t>Acme Foods</t>
        </is>
      </c>
      <c r="D13" t="inlineStr">
        <is>
          <t>Corn Puffs 12pk 150g</t>
        </is>
      </c>
      <c r="E13" t="n">
        <v>110</v>
      </c>
      <c r="F13" s="8" t="n">
        <v>2728</v>
      </c>
    </row>
    <row r="14">
      <c r="A14" t="inlineStr">
        <is>
          <t>Mar</t>
        </is>
      </c>
      <c r="B14" t="inlineStr">
        <is>
          <t>Snacks</t>
        </is>
      </c>
      <c r="C14" t="inlineStr">
        <is>
          <t>Harvest Lane</t>
        </is>
      </c>
      <c r="D14" t="inlineStr">
        <is>
          <t>Popcorn 10pk 100g</t>
        </is>
      </c>
      <c r="E14" t="n">
        <v>130</v>
      </c>
      <c r="F14" s="8" t="n">
        <v>2210</v>
      </c>
    </row>
    <row r="15">
      <c r="A15" t="inlineStr">
        <is>
          <t>Mar</t>
        </is>
      </c>
      <c r="B15" t="inlineStr">
        <is>
          <t>Bakery</t>
        </is>
      </c>
      <c r="C15" t="inlineStr">
        <is>
          <t>BrightHarvest</t>
        </is>
      </c>
      <c r="D15" t="inlineStr">
        <is>
          <t>Sourdough Loaf 800g</t>
        </is>
      </c>
      <c r="E15" t="n">
        <v>85</v>
      </c>
      <c r="F15" s="8" t="n">
        <v>3060</v>
      </c>
    </row>
    <row r="16">
      <c r="A16" t="inlineStr">
        <is>
          <t>Mar</t>
        </is>
      </c>
      <c r="B16" t="inlineStr">
        <is>
          <t>Dairy</t>
        </is>
      </c>
      <c r="C16" t="inlineStr">
        <is>
          <t>Coastal Co</t>
        </is>
      </c>
      <c r="D16" t="inlineStr">
        <is>
          <t>Cheddar Cheese 500g</t>
        </is>
      </c>
      <c r="E16" t="n">
        <v>50</v>
      </c>
      <c r="F16" s="8" t="n">
        <v>2450</v>
      </c>
    </row>
    <row r="17">
      <c r="A17" t="inlineStr">
        <is>
          <t>Mar</t>
        </is>
      </c>
      <c r="B17" t="inlineStr">
        <is>
          <t>Produce</t>
        </is>
      </c>
      <c r="C17" t="inlineStr">
        <is>
          <t>GreenField</t>
        </is>
      </c>
      <c r="D17" t="inlineStr">
        <is>
          <t>Basmati Rice 5kg</t>
        </is>
      </c>
      <c r="E17" t="n">
        <v>40</v>
      </c>
      <c r="F17" s="8" t="n">
        <v>1056</v>
      </c>
    </row>
    <row r="18">
      <c r="A18" t="inlineStr">
        <is>
          <t>Mar</t>
        </is>
      </c>
      <c r="B18" t="inlineStr">
        <is>
          <t>Produce</t>
        </is>
      </c>
      <c r="C18" t="inlineStr">
        <is>
          <t>GreenField</t>
        </is>
      </c>
      <c r="D18" t="inlineStr">
        <is>
          <t>Orange Juice 2L</t>
        </is>
      </c>
      <c r="E18" t="n">
        <v>100</v>
      </c>
      <c r="F18" s="8" t="n">
        <v>1920</v>
      </c>
    </row>
    <row r="19">
      <c r="A19" t="inlineStr">
        <is>
          <t>Mar</t>
        </is>
      </c>
      <c r="B19" t="inlineStr">
        <is>
          <t>Snacks</t>
        </is>
      </c>
      <c r="C19" t="inlineStr">
        <is>
          <t>Harvest Lane</t>
        </is>
      </c>
      <c r="D19" t="inlineStr">
        <is>
          <t>Pretzel Bites 20pk 220g</t>
        </is>
      </c>
      <c r="E19" t="n">
        <v>60</v>
      </c>
      <c r="F19" s="8" t="n">
        <v>1836</v>
      </c>
    </row>
  </sheetData>
  <mergeCells count="1">
    <mergeCell ref="H2:L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26" customWidth="1" min="4" max="4"/>
    <col width="9" customWidth="1" min="5" max="5"/>
    <col width="15" customWidth="1" min="6" max="6"/>
  </cols>
  <sheetData>
    <row r="1">
      <c r="A1" s="3" t="inlineStr">
        <is>
          <t>Month</t>
        </is>
      </c>
      <c r="B1" s="3" t="inlineStr">
        <is>
          <t>Category</t>
        </is>
      </c>
      <c r="C1" s="3" t="inlineStr">
        <is>
          <t>Supplier</t>
        </is>
      </c>
      <c r="D1" s="3" t="inlineStr">
        <is>
          <t>Product</t>
        </is>
      </c>
      <c r="E1" s="3" t="inlineStr">
        <is>
          <t>Cases</t>
        </is>
      </c>
      <c r="F1" s="3" t="inlineStr">
        <is>
          <t>Revenue (AUD)</t>
        </is>
      </c>
    </row>
    <row r="2">
      <c r="A2" t="inlineStr">
        <is>
          <t>Feb</t>
        </is>
      </c>
      <c r="B2" t="inlineStr">
        <is>
          <t>Snacks</t>
        </is>
      </c>
      <c r="C2" t="inlineStr">
        <is>
          <t>Acme Foods</t>
        </is>
      </c>
      <c r="D2" t="inlineStr">
        <is>
          <t>Stacked Chips 12pk 300g</t>
        </is>
      </c>
      <c r="E2" t="n">
        <v>140</v>
      </c>
      <c r="F2" s="8" t="n">
        <v>4060</v>
      </c>
    </row>
    <row r="3">
      <c r="A3" t="inlineStr">
        <is>
          <t>Jan</t>
        </is>
      </c>
      <c r="B3" t="inlineStr">
        <is>
          <t>Snacks</t>
        </is>
      </c>
      <c r="C3" t="inlineStr">
        <is>
          <t>Acme Foods</t>
        </is>
      </c>
      <c r="D3" t="inlineStr">
        <is>
          <t>Stacked Chips 12pk 300g</t>
        </is>
      </c>
      <c r="E3" t="n">
        <v>120</v>
      </c>
      <c r="F3" s="8" t="n">
        <v>3480</v>
      </c>
    </row>
    <row r="4">
      <c r="A4" t="inlineStr">
        <is>
          <t>Mar</t>
        </is>
      </c>
      <c r="B4" t="inlineStr">
        <is>
          <t>Bakery</t>
        </is>
      </c>
      <c r="C4" t="inlineStr">
        <is>
          <t>BrightHarvest</t>
        </is>
      </c>
      <c r="D4" t="inlineStr">
        <is>
          <t>Sourdough Loaf 800g</t>
        </is>
      </c>
      <c r="E4" t="n">
        <v>85</v>
      </c>
      <c r="F4" s="8" t="n">
        <v>3060</v>
      </c>
    </row>
    <row r="5">
      <c r="A5" t="inlineStr">
        <is>
          <t>Mar</t>
        </is>
      </c>
      <c r="B5" t="inlineStr">
        <is>
          <t>Snacks</t>
        </is>
      </c>
      <c r="C5" t="inlineStr">
        <is>
          <t>Acme Foods</t>
        </is>
      </c>
      <c r="D5" t="inlineStr">
        <is>
          <t>Corn Puffs 12pk 150g</t>
        </is>
      </c>
      <c r="E5" t="n">
        <v>110</v>
      </c>
      <c r="F5" s="8" t="n">
        <v>2728</v>
      </c>
    </row>
    <row r="6">
      <c r="A6" t="inlineStr">
        <is>
          <t>Feb</t>
        </is>
      </c>
      <c r="B6" t="inlineStr">
        <is>
          <t>Bakery</t>
        </is>
      </c>
      <c r="C6" t="inlineStr">
        <is>
          <t>BrightHarvest</t>
        </is>
      </c>
      <c r="D6" t="inlineStr">
        <is>
          <t>Sourdough Loaf 800g</t>
        </is>
      </c>
      <c r="E6" t="n">
        <v>75</v>
      </c>
      <c r="F6" s="8" t="n">
        <v>2700</v>
      </c>
    </row>
    <row r="7">
      <c r="A7" t="inlineStr">
        <is>
          <t>Feb</t>
        </is>
      </c>
      <c r="B7" t="inlineStr">
        <is>
          <t>Snacks</t>
        </is>
      </c>
      <c r="C7" t="inlineStr">
        <is>
          <t>Harvest Lane</t>
        </is>
      </c>
      <c r="D7" t="inlineStr">
        <is>
          <t>Rice Crackers 24pk 100g</t>
        </is>
      </c>
      <c r="E7" t="n">
        <v>70</v>
      </c>
      <c r="F7" s="8" t="n">
        <v>2625</v>
      </c>
    </row>
    <row r="8">
      <c r="A8" t="inlineStr">
        <is>
          <t>Mar</t>
        </is>
      </c>
      <c r="B8" t="inlineStr">
        <is>
          <t>Dairy</t>
        </is>
      </c>
      <c r="C8" t="inlineStr">
        <is>
          <t>Coastal Co</t>
        </is>
      </c>
      <c r="D8" t="inlineStr">
        <is>
          <t>Cheddar Cheese 500g</t>
        </is>
      </c>
      <c r="E8" t="n">
        <v>50</v>
      </c>
      <c r="F8" s="8" t="n">
        <v>2450</v>
      </c>
    </row>
    <row r="9">
      <c r="A9" t="inlineStr">
        <is>
          <t>Feb</t>
        </is>
      </c>
      <c r="B9" t="inlineStr">
        <is>
          <t>Produce</t>
        </is>
      </c>
      <c r="C9" t="inlineStr">
        <is>
          <t>GreenField</t>
        </is>
      </c>
      <c r="D9" t="inlineStr">
        <is>
          <t>Free-range Eggs 12pk</t>
        </is>
      </c>
      <c r="E9" t="n">
        <v>95</v>
      </c>
      <c r="F9" s="8" t="n">
        <v>2318</v>
      </c>
    </row>
    <row r="10">
      <c r="A10" t="inlineStr">
        <is>
          <t>Jan</t>
        </is>
      </c>
      <c r="B10" t="inlineStr">
        <is>
          <t>Snacks</t>
        </is>
      </c>
      <c r="C10" t="inlineStr">
        <is>
          <t>Acme Foods</t>
        </is>
      </c>
      <c r="D10" t="inlineStr">
        <is>
          <t>Corn Puffs 12pk 150g</t>
        </is>
      </c>
      <c r="E10" t="n">
        <v>90</v>
      </c>
      <c r="F10" s="8" t="n">
        <v>2232</v>
      </c>
    </row>
    <row r="11">
      <c r="A11" t="inlineStr">
        <is>
          <t>Mar</t>
        </is>
      </c>
      <c r="B11" t="inlineStr">
        <is>
          <t>Snacks</t>
        </is>
      </c>
      <c r="C11" t="inlineStr">
        <is>
          <t>Harvest Lane</t>
        </is>
      </c>
      <c r="D11" t="inlineStr">
        <is>
          <t>Popcorn 10pk 100g</t>
        </is>
      </c>
      <c r="E11" t="n">
        <v>130</v>
      </c>
      <c r="F11" s="8" t="n">
        <v>2210</v>
      </c>
    </row>
    <row r="12">
      <c r="A12" t="inlineStr">
        <is>
          <t>Jan</t>
        </is>
      </c>
      <c r="B12" t="inlineStr">
        <is>
          <t>Dairy</t>
        </is>
      </c>
      <c r="C12" t="inlineStr">
        <is>
          <t>Coastal Co</t>
        </is>
      </c>
      <c r="D12" t="inlineStr">
        <is>
          <t>Cheddar Cheese 500g</t>
        </is>
      </c>
      <c r="E12" t="n">
        <v>45</v>
      </c>
      <c r="F12" s="8" t="n">
        <v>2205</v>
      </c>
    </row>
    <row r="13">
      <c r="A13" t="inlineStr">
        <is>
          <t>Jan</t>
        </is>
      </c>
      <c r="B13" t="inlineStr">
        <is>
          <t>Bakery</t>
        </is>
      </c>
      <c r="C13" t="inlineStr">
        <is>
          <t>BrightHarvest</t>
        </is>
      </c>
      <c r="D13" t="inlineStr">
        <is>
          <t>Sourdough Loaf 800g</t>
        </is>
      </c>
      <c r="E13" t="n">
        <v>60</v>
      </c>
      <c r="F13" s="8" t="n">
        <v>2160</v>
      </c>
    </row>
    <row r="14">
      <c r="A14" t="inlineStr">
        <is>
          <t>Jan</t>
        </is>
      </c>
      <c r="B14" t="inlineStr">
        <is>
          <t>Produce</t>
        </is>
      </c>
      <c r="C14" t="inlineStr">
        <is>
          <t>GreenField</t>
        </is>
      </c>
      <c r="D14" t="inlineStr">
        <is>
          <t>Free-range Eggs 12pk</t>
        </is>
      </c>
      <c r="E14" t="n">
        <v>80</v>
      </c>
      <c r="F14" s="8" t="n">
        <v>1952</v>
      </c>
    </row>
    <row r="15">
      <c r="A15" t="inlineStr">
        <is>
          <t>Mar</t>
        </is>
      </c>
      <c r="B15" t="inlineStr">
        <is>
          <t>Produce</t>
        </is>
      </c>
      <c r="C15" t="inlineStr">
        <is>
          <t>GreenField</t>
        </is>
      </c>
      <c r="D15" t="inlineStr">
        <is>
          <t>Orange Juice 2L</t>
        </is>
      </c>
      <c r="E15" t="n">
        <v>100</v>
      </c>
      <c r="F15" s="8" t="n">
        <v>1920</v>
      </c>
    </row>
    <row r="16">
      <c r="A16" t="inlineStr">
        <is>
          <t>Mar</t>
        </is>
      </c>
      <c r="B16" t="inlineStr">
        <is>
          <t>Snacks</t>
        </is>
      </c>
      <c r="C16" t="inlineStr">
        <is>
          <t>Harvest Lane</t>
        </is>
      </c>
      <c r="D16" t="inlineStr">
        <is>
          <t>Pretzel Bites 20pk 220g</t>
        </is>
      </c>
      <c r="E16" t="n">
        <v>60</v>
      </c>
      <c r="F16" s="8" t="n">
        <v>1836</v>
      </c>
    </row>
    <row r="17">
      <c r="A17" t="inlineStr">
        <is>
          <t>Feb</t>
        </is>
      </c>
      <c r="B17" t="inlineStr">
        <is>
          <t>Dairy</t>
        </is>
      </c>
      <c r="C17" t="inlineStr">
        <is>
          <t>Coastal Co</t>
        </is>
      </c>
      <c r="D17" t="inlineStr">
        <is>
          <t>Salted Butter 250g</t>
        </is>
      </c>
      <c r="E17" t="n">
        <v>55</v>
      </c>
      <c r="F17" s="8" t="n">
        <v>1749</v>
      </c>
    </row>
    <row r="18">
      <c r="A18" t="inlineStr">
        <is>
          <t>Feb</t>
        </is>
      </c>
      <c r="B18" t="inlineStr">
        <is>
          <t>Dairy</t>
        </is>
      </c>
      <c r="C18" t="inlineStr">
        <is>
          <t>Coastal Co</t>
        </is>
      </c>
      <c r="D18" t="inlineStr">
        <is>
          <t>Greek Yoghurt 1kg</t>
        </is>
      </c>
      <c r="E18" t="n">
        <v>65</v>
      </c>
      <c r="F18" s="8" t="n">
        <v>1248</v>
      </c>
    </row>
    <row r="19">
      <c r="A19" t="inlineStr">
        <is>
          <t>Mar</t>
        </is>
      </c>
      <c r="B19" t="inlineStr">
        <is>
          <t>Produce</t>
        </is>
      </c>
      <c r="C19" t="inlineStr">
        <is>
          <t>GreenField</t>
        </is>
      </c>
      <c r="D19" t="inlineStr">
        <is>
          <t>Basmati Rice 5kg</t>
        </is>
      </c>
      <c r="E19" t="n">
        <v>40</v>
      </c>
      <c r="F19" s="8" t="n">
        <v>1056</v>
      </c>
    </row>
  </sheetData>
  <autoFilter ref="A1:F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26" customWidth="1" min="4" max="4"/>
    <col width="9" customWidth="1" min="5" max="5"/>
    <col width="18" customWidth="1" min="8" max="8"/>
    <col width="15" customWidth="1" min="9" max="9"/>
  </cols>
  <sheetData>
    <row r="1">
      <c r="A1" s="3" t="inlineStr">
        <is>
          <t>Date</t>
        </is>
      </c>
      <c r="B1" s="3" t="inlineStr">
        <is>
          <t>Category</t>
        </is>
      </c>
      <c r="C1" s="3" t="inlineStr">
        <is>
          <t>Supplier</t>
        </is>
      </c>
      <c r="D1" s="3" t="inlineStr">
        <is>
          <t>Product</t>
        </is>
      </c>
      <c r="E1" s="3" t="inlineStr">
        <is>
          <t>Cases</t>
        </is>
      </c>
      <c r="H1" s="3" t="inlineStr">
        <is>
          <t>Approved categories</t>
        </is>
      </c>
      <c r="I1" s="3" t="inlineStr">
        <is>
          <t>Approved suppliers</t>
        </is>
      </c>
    </row>
    <row r="2">
      <c r="A2" t="inlineStr">
        <is>
          <t>2026-01-05</t>
        </is>
      </c>
      <c r="B2" t="inlineStr">
        <is>
          <t>Snacks</t>
        </is>
      </c>
      <c r="C2" t="inlineStr">
        <is>
          <t>Acme Foods</t>
        </is>
      </c>
      <c r="D2" t="inlineStr">
        <is>
          <t>Stacked Chips 12pk 300g</t>
        </is>
      </c>
      <c r="E2" t="n">
        <v>120</v>
      </c>
      <c r="H2" t="inlineStr">
        <is>
          <t>Snacks</t>
        </is>
      </c>
      <c r="I2" t="inlineStr">
        <is>
          <t>Acme Foods</t>
        </is>
      </c>
    </row>
    <row r="3">
      <c r="A3" t="inlineStr">
        <is>
          <t>2026-01-06</t>
        </is>
      </c>
      <c r="B3" t="inlineStr">
        <is>
          <t>Bakery</t>
        </is>
      </c>
      <c r="C3" t="inlineStr">
        <is>
          <t>BrightHarvest</t>
        </is>
      </c>
      <c r="D3" t="inlineStr">
        <is>
          <t>Sourdough Loaf 800g</t>
        </is>
      </c>
      <c r="E3" t="n">
        <v>60</v>
      </c>
      <c r="H3" t="inlineStr">
        <is>
          <t>Bakery</t>
        </is>
      </c>
      <c r="I3" t="inlineStr">
        <is>
          <t>Harvest Lane</t>
        </is>
      </c>
    </row>
    <row r="4">
      <c r="A4" t="inlineStr">
        <is>
          <t>2026-01-07</t>
        </is>
      </c>
      <c r="B4" t="inlineStr">
        <is>
          <t>Dairy</t>
        </is>
      </c>
      <c r="C4" t="inlineStr">
        <is>
          <t>Coastal Co</t>
        </is>
      </c>
      <c r="D4" t="inlineStr">
        <is>
          <t>Cheddar Cheese 500g</t>
        </is>
      </c>
      <c r="E4" t="n">
        <v>45</v>
      </c>
      <c r="H4" t="inlineStr">
        <is>
          <t>Dairy</t>
        </is>
      </c>
      <c r="I4" t="inlineStr">
        <is>
          <t>BrightHarvest</t>
        </is>
      </c>
    </row>
    <row r="5">
      <c r="H5" t="inlineStr">
        <is>
          <t>Produce</t>
        </is>
      </c>
      <c r="I5" t="inlineStr">
        <is>
          <t>Coastal Co</t>
        </is>
      </c>
    </row>
    <row r="6">
      <c r="I6" t="inlineStr">
        <is>
          <t>GreenField</t>
        </is>
      </c>
    </row>
    <row r="7">
      <c r="I7" t="inlineStr">
        <is>
          <t>Riverside</t>
        </is>
      </c>
    </row>
    <row r="13">
      <c r="A13" s="6" t="inlineStr">
        <is>
          <t>Your task</t>
        </is>
      </c>
    </row>
    <row r="14">
      <c r="A14" s="7" t="inlineStr">
        <is>
          <t>Select B2:B11, then Data &gt; Data Validation &gt; Allow: List, Source: =$H$2:$H$5 for the approved categories. Do the same for C2:C11 against =$I$2:$I$7. Each cell now offers a dropdown and rejects anything off the list — one setup protects every row you type.</t>
        </is>
      </c>
    </row>
    <row r="15"/>
    <row r="16"/>
    <row r="17"/>
  </sheetData>
  <mergeCells count="1">
    <mergeCell ref="A14:E1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26" customWidth="1" min="4" max="4"/>
    <col width="9" customWidth="1" min="5" max="5"/>
    <col width="18" customWidth="1" min="8" max="8"/>
    <col width="15" customWidth="1" min="9" max="9"/>
  </cols>
  <sheetData>
    <row r="1">
      <c r="A1" s="3" t="inlineStr">
        <is>
          <t>Date</t>
        </is>
      </c>
      <c r="B1" s="3" t="inlineStr">
        <is>
          <t>Category</t>
        </is>
      </c>
      <c r="C1" s="3" t="inlineStr">
        <is>
          <t>Supplier</t>
        </is>
      </c>
      <c r="D1" s="3" t="inlineStr">
        <is>
          <t>Product</t>
        </is>
      </c>
      <c r="E1" s="3" t="inlineStr">
        <is>
          <t>Cases</t>
        </is>
      </c>
      <c r="H1" s="3" t="inlineStr">
        <is>
          <t>Approved categories</t>
        </is>
      </c>
      <c r="I1" s="3" t="inlineStr">
        <is>
          <t>Approved suppliers</t>
        </is>
      </c>
    </row>
    <row r="2">
      <c r="A2" t="inlineStr">
        <is>
          <t>2026-01-05</t>
        </is>
      </c>
      <c r="B2" t="inlineStr">
        <is>
          <t>Snacks</t>
        </is>
      </c>
      <c r="C2" t="inlineStr">
        <is>
          <t>Acme Foods</t>
        </is>
      </c>
      <c r="D2" t="inlineStr">
        <is>
          <t>Stacked Chips 12pk 300g</t>
        </is>
      </c>
      <c r="E2" t="n">
        <v>120</v>
      </c>
      <c r="H2" t="inlineStr">
        <is>
          <t>Snacks</t>
        </is>
      </c>
      <c r="I2" t="inlineStr">
        <is>
          <t>Acme Foods</t>
        </is>
      </c>
    </row>
    <row r="3">
      <c r="A3" t="inlineStr">
        <is>
          <t>2026-01-06</t>
        </is>
      </c>
      <c r="B3" t="inlineStr">
        <is>
          <t>Bakery</t>
        </is>
      </c>
      <c r="C3" t="inlineStr">
        <is>
          <t>BrightHarvest</t>
        </is>
      </c>
      <c r="D3" t="inlineStr">
        <is>
          <t>Sourdough Loaf 800g</t>
        </is>
      </c>
      <c r="E3" t="n">
        <v>60</v>
      </c>
      <c r="H3" t="inlineStr">
        <is>
          <t>Bakery</t>
        </is>
      </c>
      <c r="I3" t="inlineStr">
        <is>
          <t>Harvest Lane</t>
        </is>
      </c>
    </row>
    <row r="4">
      <c r="A4" t="inlineStr">
        <is>
          <t>2026-01-07</t>
        </is>
      </c>
      <c r="B4" t="inlineStr">
        <is>
          <t>Dairy</t>
        </is>
      </c>
      <c r="C4" t="inlineStr">
        <is>
          <t>Coastal Co</t>
        </is>
      </c>
      <c r="D4" t="inlineStr">
        <is>
          <t>Cheddar Cheese 500g</t>
        </is>
      </c>
      <c r="E4" t="n">
        <v>45</v>
      </c>
      <c r="H4" t="inlineStr">
        <is>
          <t>Dairy</t>
        </is>
      </c>
      <c r="I4" t="inlineStr">
        <is>
          <t>BrightHarvest</t>
        </is>
      </c>
    </row>
    <row r="5">
      <c r="H5" t="inlineStr">
        <is>
          <t>Produce</t>
        </is>
      </c>
      <c r="I5" t="inlineStr">
        <is>
          <t>Coastal Co</t>
        </is>
      </c>
    </row>
    <row r="6">
      <c r="I6" t="inlineStr">
        <is>
          <t>GreenField</t>
        </is>
      </c>
    </row>
    <row r="7">
      <c r="I7" t="inlineStr">
        <is>
          <t>Riverside</t>
        </is>
      </c>
    </row>
  </sheetData>
  <dataValidations count="2">
    <dataValidation sqref="B2:B11" showDropDown="0" showInputMessage="0" showErrorMessage="0" allowBlank="1" type="list">
      <formula1>=$H$2:$H$5</formula1>
    </dataValidation>
    <dataValidation sqref="C2:C11" showDropDown="0" showInputMessage="0" showErrorMessage="0" allowBlank="1" type="list">
      <formula1>=$I$2:$I$7</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28" customWidth="1" min="3" max="3"/>
    <col width="24" customWidth="1" min="4" max="4"/>
    <col width="12" customWidth="1" min="5" max="5"/>
    <col width="28" customWidth="1" min="6" max="6"/>
    <col width="16" customWidth="1" min="8" max="8"/>
    <col width="12" customWidth="1" min="9" max="9"/>
    <col width="12" customWidth="1" min="10" max="10"/>
    <col width="12" customWidth="1" min="11" max="11"/>
    <col width="12" customWidth="1" min="12" max="12"/>
  </cols>
  <sheetData>
    <row r="1">
      <c r="A1" s="3" t="inlineStr">
        <is>
          <t>Raw product</t>
        </is>
      </c>
      <c r="B1" s="3" t="inlineStr">
        <is>
          <t>Supplier code</t>
        </is>
      </c>
      <c r="C1" s="3" t="inlineStr">
        <is>
          <t>Contact</t>
        </is>
      </c>
      <c r="D1" s="3" t="inlineStr">
        <is>
          <t>Clean name</t>
        </is>
      </c>
      <c r="E1" s="3" t="inlineStr">
        <is>
          <t>Code prefix</t>
        </is>
      </c>
      <c r="F1" s="3" t="inlineStr">
        <is>
          <t>Label</t>
        </is>
      </c>
      <c r="H1" s="6" t="inlineStr">
        <is>
          <t>Your task</t>
        </is>
      </c>
    </row>
    <row r="2">
      <c r="A2" t="inlineStr">
        <is>
          <t xml:space="preserve">  stacked chips 12pk 300g </t>
        </is>
      </c>
      <c r="B2" t="inlineStr">
        <is>
          <t>AF-001</t>
        </is>
      </c>
      <c r="C2" t="inlineStr">
        <is>
          <t>jane.doe@acme.example</t>
        </is>
      </c>
      <c r="H2" s="7" t="inlineStr">
        <is>
          <t>In D2 type  =PROPER(TRIM(A2))  to clean the name, in E2 type  =LEFT(B2,2)  for the two-letter prefix, and in F2 type  =D2 &amp; " (" &amp; E2 &amp; ")"  for the label. Fill all three down. The originals in A:C never change — the tidy columns are built from them.</t>
        </is>
      </c>
    </row>
    <row r="3">
      <c r="A3" t="inlineStr">
        <is>
          <t xml:space="preserve"> CORN PUFFS 12pk 150g</t>
        </is>
      </c>
      <c r="B3" t="inlineStr">
        <is>
          <t>HL-204</t>
        </is>
      </c>
      <c r="C3" t="inlineStr">
        <is>
          <t>sam.lee@harvest.example</t>
        </is>
      </c>
    </row>
    <row r="4">
      <c r="A4" t="inlineStr">
        <is>
          <t xml:space="preserve">rice crackers  24pk 100g </t>
        </is>
      </c>
      <c r="B4" t="inlineStr">
        <is>
          <t>BH-330</t>
        </is>
      </c>
      <c r="C4" t="inlineStr">
        <is>
          <t>amy.ng@bright.example</t>
        </is>
      </c>
    </row>
    <row r="5">
      <c r="A5" t="inlineStr">
        <is>
          <t xml:space="preserve"> POPCORN 10pk 100g </t>
        </is>
      </c>
      <c r="B5" t="inlineStr">
        <is>
          <t>CC-018</t>
        </is>
      </c>
      <c r="C5" t="inlineStr">
        <is>
          <t>raj.patel@coastal.example</t>
        </is>
      </c>
    </row>
    <row r="6">
      <c r="A6" t="inlineStr">
        <is>
          <t xml:space="preserve">sourdough loaf 800g  </t>
        </is>
      </c>
      <c r="B6" t="inlineStr">
        <is>
          <t>HL-207</t>
        </is>
      </c>
      <c r="C6" t="inlineStr">
        <is>
          <t>sam.lee@harvest.example</t>
        </is>
      </c>
    </row>
    <row r="7">
      <c r="A7" t="inlineStr">
        <is>
          <t xml:space="preserve"> cheddar cheese 500g</t>
        </is>
      </c>
      <c r="B7" t="inlineStr">
        <is>
          <t>CC-042</t>
        </is>
      </c>
      <c r="C7" t="inlineStr">
        <is>
          <t>raj.patel@coastal.example</t>
        </is>
      </c>
    </row>
    <row r="8">
      <c r="A8" t="inlineStr">
        <is>
          <t xml:space="preserve">salted  butter 250g </t>
        </is>
      </c>
      <c r="B8" t="inlineStr">
        <is>
          <t>GF-115</t>
        </is>
      </c>
      <c r="C8" t="inlineStr">
        <is>
          <t>kim.tan@greenfield.example</t>
        </is>
      </c>
    </row>
    <row r="9">
      <c r="A9" t="inlineStr">
        <is>
          <t xml:space="preserve"> GREEK yoghurt 1kg </t>
        </is>
      </c>
      <c r="B9" t="inlineStr">
        <is>
          <t>RS-260</t>
        </is>
      </c>
      <c r="C9" t="inlineStr">
        <is>
          <t>leo.cruz@riverside.example</t>
        </is>
      </c>
    </row>
    <row r="10">
      <c r="A10" t="inlineStr">
        <is>
          <t xml:space="preserve">free-range eggs 12pk  </t>
        </is>
      </c>
      <c r="B10" t="inlineStr">
        <is>
          <t>GF-119</t>
        </is>
      </c>
      <c r="C10" t="inlineStr">
        <is>
          <t>kim.tan@greenfield.example</t>
        </is>
      </c>
    </row>
    <row r="11">
      <c r="A11" t="inlineStr">
        <is>
          <t xml:space="preserve"> basmati rice 5kg </t>
        </is>
      </c>
      <c r="B11" t="inlineStr">
        <is>
          <t>RS-271</t>
        </is>
      </c>
      <c r="C11" t="inlineStr">
        <is>
          <t>leo.cruz@riverside.example</t>
        </is>
      </c>
    </row>
  </sheetData>
  <mergeCells count="1">
    <mergeCell ref="H2:L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28" customWidth="1" min="3" max="3"/>
    <col width="24" customWidth="1" min="4" max="4"/>
    <col width="12" customWidth="1" min="5" max="5"/>
    <col width="28" customWidth="1" min="6" max="6"/>
  </cols>
  <sheetData>
    <row r="1">
      <c r="A1" s="3" t="inlineStr">
        <is>
          <t>Raw product</t>
        </is>
      </c>
      <c r="B1" s="3" t="inlineStr">
        <is>
          <t>Supplier code</t>
        </is>
      </c>
      <c r="C1" s="3" t="inlineStr">
        <is>
          <t>Contact</t>
        </is>
      </c>
      <c r="D1" s="3" t="inlineStr">
        <is>
          <t>Clean name</t>
        </is>
      </c>
      <c r="E1" s="3" t="inlineStr">
        <is>
          <t>Code prefix</t>
        </is>
      </c>
      <c r="F1" s="3" t="inlineStr">
        <is>
          <t>Label</t>
        </is>
      </c>
    </row>
    <row r="2">
      <c r="A2" t="inlineStr">
        <is>
          <t xml:space="preserve">  stacked chips 12pk 300g </t>
        </is>
      </c>
      <c r="B2" t="inlineStr">
        <is>
          <t>AF-001</t>
        </is>
      </c>
      <c r="C2" t="inlineStr">
        <is>
          <t>jane.doe@acme.example</t>
        </is>
      </c>
      <c r="D2">
        <f>PROPER(TRIM(A2))</f>
        <v/>
      </c>
      <c r="E2">
        <f>LEFT(B2,2)</f>
        <v/>
      </c>
      <c r="F2">
        <f>D2 &amp; " (" &amp; E2 &amp; ")"</f>
        <v/>
      </c>
    </row>
    <row r="3">
      <c r="A3" t="inlineStr">
        <is>
          <t xml:space="preserve"> CORN PUFFS 12pk 150g</t>
        </is>
      </c>
      <c r="B3" t="inlineStr">
        <is>
          <t>HL-204</t>
        </is>
      </c>
      <c r="C3" t="inlineStr">
        <is>
          <t>sam.lee@harvest.example</t>
        </is>
      </c>
      <c r="D3">
        <f>PROPER(TRIM(A3))</f>
        <v/>
      </c>
      <c r="E3">
        <f>LEFT(B3,2)</f>
        <v/>
      </c>
      <c r="F3">
        <f>D3 &amp; " (" &amp; E3 &amp; ")"</f>
        <v/>
      </c>
    </row>
    <row r="4">
      <c r="A4" t="inlineStr">
        <is>
          <t xml:space="preserve">rice crackers  24pk 100g </t>
        </is>
      </c>
      <c r="B4" t="inlineStr">
        <is>
          <t>BH-330</t>
        </is>
      </c>
      <c r="C4" t="inlineStr">
        <is>
          <t>amy.ng@bright.example</t>
        </is>
      </c>
      <c r="D4">
        <f>PROPER(TRIM(A4))</f>
        <v/>
      </c>
      <c r="E4">
        <f>LEFT(B4,2)</f>
        <v/>
      </c>
      <c r="F4">
        <f>D4 &amp; " (" &amp; E4 &amp; ")"</f>
        <v/>
      </c>
    </row>
    <row r="5">
      <c r="A5" t="inlineStr">
        <is>
          <t xml:space="preserve"> POPCORN 10pk 100g </t>
        </is>
      </c>
      <c r="B5" t="inlineStr">
        <is>
          <t>CC-018</t>
        </is>
      </c>
      <c r="C5" t="inlineStr">
        <is>
          <t>raj.patel@coastal.example</t>
        </is>
      </c>
      <c r="D5">
        <f>PROPER(TRIM(A5))</f>
        <v/>
      </c>
      <c r="E5">
        <f>LEFT(B5,2)</f>
        <v/>
      </c>
      <c r="F5">
        <f>D5 &amp; " (" &amp; E5 &amp; ")"</f>
        <v/>
      </c>
    </row>
    <row r="6">
      <c r="A6" t="inlineStr">
        <is>
          <t xml:space="preserve">sourdough loaf 800g  </t>
        </is>
      </c>
      <c r="B6" t="inlineStr">
        <is>
          <t>HL-207</t>
        </is>
      </c>
      <c r="C6" t="inlineStr">
        <is>
          <t>sam.lee@harvest.example</t>
        </is>
      </c>
      <c r="D6">
        <f>PROPER(TRIM(A6))</f>
        <v/>
      </c>
      <c r="E6">
        <f>LEFT(B6,2)</f>
        <v/>
      </c>
      <c r="F6">
        <f>D6 &amp; " (" &amp; E6 &amp; ")"</f>
        <v/>
      </c>
    </row>
    <row r="7">
      <c r="A7" t="inlineStr">
        <is>
          <t xml:space="preserve"> cheddar cheese 500g</t>
        </is>
      </c>
      <c r="B7" t="inlineStr">
        <is>
          <t>CC-042</t>
        </is>
      </c>
      <c r="C7" t="inlineStr">
        <is>
          <t>raj.patel@coastal.example</t>
        </is>
      </c>
      <c r="D7">
        <f>PROPER(TRIM(A7))</f>
        <v/>
      </c>
      <c r="E7">
        <f>LEFT(B7,2)</f>
        <v/>
      </c>
      <c r="F7">
        <f>D7 &amp; " (" &amp; E7 &amp; ")"</f>
        <v/>
      </c>
    </row>
    <row r="8">
      <c r="A8" t="inlineStr">
        <is>
          <t xml:space="preserve">salted  butter 250g </t>
        </is>
      </c>
      <c r="B8" t="inlineStr">
        <is>
          <t>GF-115</t>
        </is>
      </c>
      <c r="C8" t="inlineStr">
        <is>
          <t>kim.tan@greenfield.example</t>
        </is>
      </c>
      <c r="D8">
        <f>PROPER(TRIM(A8))</f>
        <v/>
      </c>
      <c r="E8">
        <f>LEFT(B8,2)</f>
        <v/>
      </c>
      <c r="F8">
        <f>D8 &amp; " (" &amp; E8 &amp; ")"</f>
        <v/>
      </c>
    </row>
    <row r="9">
      <c r="A9" t="inlineStr">
        <is>
          <t xml:space="preserve"> GREEK yoghurt 1kg </t>
        </is>
      </c>
      <c r="B9" t="inlineStr">
        <is>
          <t>RS-260</t>
        </is>
      </c>
      <c r="C9" t="inlineStr">
        <is>
          <t>leo.cruz@riverside.example</t>
        </is>
      </c>
      <c r="D9">
        <f>PROPER(TRIM(A9))</f>
        <v/>
      </c>
      <c r="E9">
        <f>LEFT(B9,2)</f>
        <v/>
      </c>
      <c r="F9">
        <f>D9 &amp; " (" &amp; E9 &amp; ")"</f>
        <v/>
      </c>
    </row>
    <row r="10">
      <c r="A10" t="inlineStr">
        <is>
          <t xml:space="preserve">free-range eggs 12pk  </t>
        </is>
      </c>
      <c r="B10" t="inlineStr">
        <is>
          <t>GF-119</t>
        </is>
      </c>
      <c r="C10" t="inlineStr">
        <is>
          <t>kim.tan@greenfield.example</t>
        </is>
      </c>
      <c r="D10">
        <f>PROPER(TRIM(A10))</f>
        <v/>
      </c>
      <c r="E10">
        <f>LEFT(B10,2)</f>
        <v/>
      </c>
      <c r="F10">
        <f>D10 &amp; " (" &amp; E10 &amp; ")"</f>
        <v/>
      </c>
    </row>
    <row r="11">
      <c r="A11" t="inlineStr">
        <is>
          <t xml:space="preserve"> basmati rice 5kg </t>
        </is>
      </c>
      <c r="B11" t="inlineStr">
        <is>
          <t>RS-271</t>
        </is>
      </c>
      <c r="C11" t="inlineStr">
        <is>
          <t>leo.cruz@riverside.example</t>
        </is>
      </c>
      <c r="D11">
        <f>PROPER(TRIM(A11))</f>
        <v/>
      </c>
      <c r="E11">
        <f>LEFT(B11,2)</f>
        <v/>
      </c>
      <c r="F11">
        <f>D11 &amp; " (" &amp; E11 &amp; ")"</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26" customWidth="1" min="1" max="1"/>
    <col width="14" customWidth="1" min="2" max="2"/>
    <col width="9" customWidth="1" min="3" max="3"/>
    <col width="14" customWidth="1" min="4" max="4"/>
    <col width="12" customWidth="1" min="7" max="7"/>
    <col width="12" customWidth="1" min="8" max="8"/>
    <col width="12" customWidth="1" min="9" max="9"/>
    <col width="12" customWidth="1" min="10" max="10"/>
  </cols>
  <sheetData>
    <row r="1">
      <c r="A1" t="inlineStr">
        <is>
          <t>WEEKLY EXPORT — do not edit above</t>
        </is>
      </c>
      <c r="F1" s="6" t="inlineStr">
        <is>
          <t>Your task</t>
        </is>
      </c>
    </row>
    <row r="2">
      <c r="A2" t="inlineStr">
        <is>
          <t xml:space="preserve">Product </t>
        </is>
      </c>
      <c r="B2" t="inlineStr">
        <is>
          <t xml:space="preserve"> Category</t>
        </is>
      </c>
      <c r="C2" t="inlineStr">
        <is>
          <t>Cases</t>
        </is>
      </c>
      <c r="D2" t="inlineStr">
        <is>
          <t xml:space="preserve">Revenue </t>
        </is>
      </c>
      <c r="F2" s="7" t="inlineStr">
        <is>
          <t>Click a cell in the block, then Data &gt; From Table/Range. In the editor: Remove Top Rows (the title), Use First Row as Headers, Trim the text columns, set Revenue to a number, Remove Blank Rows, then Close &amp; Load. Compare with the 'Power Query soln' tab.</t>
        </is>
      </c>
    </row>
    <row r="3">
      <c r="A3" t="inlineStr">
        <is>
          <t xml:space="preserve"> stacked chips 12pk 300g</t>
        </is>
      </c>
      <c r="B3" t="inlineStr">
        <is>
          <t xml:space="preserve">snacks </t>
        </is>
      </c>
      <c r="C3" t="n">
        <v>120</v>
      </c>
      <c r="D3" t="inlineStr">
        <is>
          <t>3480</t>
        </is>
      </c>
    </row>
    <row r="4">
      <c r="A4" t="inlineStr">
        <is>
          <t xml:space="preserve">CORN PUFFS 12pk 150g </t>
        </is>
      </c>
      <c r="B4" t="inlineStr">
        <is>
          <t xml:space="preserve"> Snacks</t>
        </is>
      </c>
      <c r="C4" t="n">
        <v>90</v>
      </c>
      <c r="D4" t="inlineStr">
        <is>
          <t>2232</t>
        </is>
      </c>
    </row>
    <row r="5"/>
    <row r="6">
      <c r="A6" t="inlineStr">
        <is>
          <t xml:space="preserve"> sourdough loaf 800g</t>
        </is>
      </c>
      <c r="B6" t="inlineStr">
        <is>
          <t>bakery</t>
        </is>
      </c>
      <c r="C6" t="n">
        <v>60</v>
      </c>
      <c r="D6" t="inlineStr">
        <is>
          <t>2160</t>
        </is>
      </c>
    </row>
    <row r="7">
      <c r="A7" t="inlineStr">
        <is>
          <t xml:space="preserve">cheddar cheese 500g </t>
        </is>
      </c>
      <c r="B7" t="inlineStr">
        <is>
          <t xml:space="preserve"> DAIRY</t>
        </is>
      </c>
      <c r="C7" t="n">
        <v>45</v>
      </c>
      <c r="D7" t="inlineStr">
        <is>
          <t>2205</t>
        </is>
      </c>
    </row>
    <row r="8">
      <c r="A8" t="inlineStr">
        <is>
          <t xml:space="preserve"> free-range eggs 12pk</t>
        </is>
      </c>
      <c r="B8" t="inlineStr">
        <is>
          <t xml:space="preserve">produce </t>
        </is>
      </c>
      <c r="C8" t="n">
        <v>80</v>
      </c>
      <c r="D8" t="inlineStr">
        <is>
          <t>1952</t>
        </is>
      </c>
    </row>
  </sheetData>
  <mergeCells count="1">
    <mergeCell ref="F2:J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9" customWidth="1" min="3" max="3"/>
    <col width="14" customWidth="1" min="4" max="4"/>
  </cols>
  <sheetData>
    <row r="1">
      <c r="A1" s="3" t="inlineStr">
        <is>
          <t>Product</t>
        </is>
      </c>
      <c r="B1" s="3" t="inlineStr">
        <is>
          <t>Category</t>
        </is>
      </c>
      <c r="C1" s="3" t="inlineStr">
        <is>
          <t>Cases</t>
        </is>
      </c>
      <c r="D1" s="3" t="inlineStr">
        <is>
          <t>Revenue (AUD)</t>
        </is>
      </c>
    </row>
    <row r="2">
      <c r="A2" t="inlineStr">
        <is>
          <t>Stacked Chips 12pk 300g</t>
        </is>
      </c>
      <c r="B2" t="inlineStr">
        <is>
          <t>Snacks</t>
        </is>
      </c>
      <c r="C2" t="n">
        <v>120</v>
      </c>
      <c r="D2" s="9" t="n">
        <v>3480</v>
      </c>
    </row>
    <row r="3">
      <c r="A3" t="inlineStr">
        <is>
          <t>Corn Puffs 12pk 150g</t>
        </is>
      </c>
      <c r="B3" t="inlineStr">
        <is>
          <t>Snacks</t>
        </is>
      </c>
      <c r="C3" t="n">
        <v>90</v>
      </c>
      <c r="D3" s="9" t="n">
        <v>2232</v>
      </c>
    </row>
    <row r="4">
      <c r="A4" t="inlineStr">
        <is>
          <t>Sourdough Loaf 800g</t>
        </is>
      </c>
      <c r="B4" t="inlineStr">
        <is>
          <t>Bakery</t>
        </is>
      </c>
      <c r="C4" t="n">
        <v>60</v>
      </c>
      <c r="D4" s="9" t="n">
        <v>2160</v>
      </c>
    </row>
    <row r="5">
      <c r="A5" t="inlineStr">
        <is>
          <t>Cheddar Cheese 500g</t>
        </is>
      </c>
      <c r="B5" t="inlineStr">
        <is>
          <t>Dairy</t>
        </is>
      </c>
      <c r="C5" t="n">
        <v>45</v>
      </c>
      <c r="D5" s="9" t="n">
        <v>2205</v>
      </c>
    </row>
    <row r="6">
      <c r="A6" t="inlineStr">
        <is>
          <t>Free-range Eggs 12pk</t>
        </is>
      </c>
      <c r="B6" t="inlineStr">
        <is>
          <t>Produce</t>
        </is>
      </c>
      <c r="C6" t="n">
        <v>80</v>
      </c>
      <c r="D6" s="9" t="n">
        <v>1952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15" customWidth="1" min="3" max="3"/>
    <col width="9" customWidth="1" min="4" max="4"/>
    <col width="9" customWidth="1" min="5" max="5"/>
    <col width="12" customWidth="1" min="6" max="6"/>
    <col width="16" customWidth="1" min="7" max="7"/>
  </cols>
  <sheetData>
    <row r="1">
      <c r="A1" s="3" t="inlineStr">
        <is>
          <t>Product</t>
        </is>
      </c>
      <c r="B1" s="3" t="inlineStr">
        <is>
          <t>Cases</t>
        </is>
      </c>
      <c r="C1" s="3" t="inlineStr">
        <is>
          <t>Revenue (AUD)</t>
        </is>
      </c>
      <c r="D1" s="3" t="inlineStr">
        <is>
          <t>Actual</t>
        </is>
      </c>
      <c r="E1" s="3" t="inlineStr">
        <is>
          <t>Target</t>
        </is>
      </c>
      <c r="F1" s="3" t="inlineStr">
        <is>
          <t>Verdict</t>
        </is>
      </c>
      <c r="G1" s="3" t="inlineStr">
        <is>
          <t>Revenue per case</t>
        </is>
      </c>
    </row>
    <row r="2">
      <c r="A2" t="inlineStr">
        <is>
          <t>Stacked Chips 12pk 300g</t>
        </is>
      </c>
      <c r="B2" t="n">
        <v>120</v>
      </c>
      <c r="C2" s="8" t="n">
        <v>3480</v>
      </c>
      <c r="D2" t="n">
        <v>120</v>
      </c>
      <c r="E2" t="n">
        <v>100</v>
      </c>
    </row>
    <row r="3">
      <c r="A3" t="inlineStr">
        <is>
          <t>Corn Puffs 12pk 150g</t>
        </is>
      </c>
      <c r="B3" t="n">
        <v>90</v>
      </c>
      <c r="C3" s="8" t="n">
        <v>2232</v>
      </c>
      <c r="D3" t="n">
        <v>90</v>
      </c>
      <c r="E3" t="n">
        <v>110</v>
      </c>
    </row>
    <row r="4">
      <c r="A4" t="inlineStr">
        <is>
          <t>Rice Crackers 24pk 100g</t>
        </is>
      </c>
      <c r="B4" t="n">
        <v>70</v>
      </c>
      <c r="C4" s="8" t="n">
        <v>2625</v>
      </c>
      <c r="D4" t="n">
        <v>70</v>
      </c>
      <c r="E4" t="n">
        <v>60</v>
      </c>
    </row>
    <row r="5">
      <c r="A5" t="inlineStr">
        <is>
          <t>Popcorn 10pk 100g</t>
        </is>
      </c>
      <c r="B5" t="n">
        <v>130</v>
      </c>
      <c r="C5" s="8" t="n">
        <v>2210</v>
      </c>
      <c r="D5" t="n">
        <v>130</v>
      </c>
      <c r="E5" t="n">
        <v>150</v>
      </c>
    </row>
    <row r="6">
      <c r="A6" t="inlineStr">
        <is>
          <t>Sourdough Loaf 800g</t>
        </is>
      </c>
      <c r="B6" t="n">
        <v>85</v>
      </c>
      <c r="C6" s="8" t="n">
        <v>3060</v>
      </c>
      <c r="D6" t="n">
        <v>85</v>
      </c>
      <c r="E6" t="n">
        <v>80</v>
      </c>
    </row>
    <row r="7">
      <c r="A7" t="inlineStr">
        <is>
          <t>Cheddar Cheese 500g</t>
        </is>
      </c>
      <c r="C7" s="8" t="n">
        <v>2450</v>
      </c>
      <c r="D7" t="n">
        <v>50</v>
      </c>
      <c r="E7" t="n">
        <v>60</v>
      </c>
    </row>
    <row r="8">
      <c r="A8" t="inlineStr">
        <is>
          <t>Salted Butter 250g</t>
        </is>
      </c>
      <c r="B8" t="n">
        <v>55</v>
      </c>
      <c r="C8" s="8" t="n">
        <v>1749</v>
      </c>
      <c r="D8" t="n">
        <v>55</v>
      </c>
      <c r="E8" t="n">
        <v>50</v>
      </c>
    </row>
    <row r="9">
      <c r="A9" t="inlineStr">
        <is>
          <t>Greek Yoghurt 1kg</t>
        </is>
      </c>
      <c r="B9" t="n">
        <v>65</v>
      </c>
      <c r="C9" s="8" t="n">
        <v>1248</v>
      </c>
      <c r="D9" t="n">
        <v>65</v>
      </c>
      <c r="E9" t="n">
        <v>70</v>
      </c>
    </row>
    <row r="10">
      <c r="A10" t="inlineStr">
        <is>
          <t>Free-range Eggs 12pk</t>
        </is>
      </c>
      <c r="B10" t="n">
        <v>95</v>
      </c>
      <c r="C10" s="8" t="n">
        <v>2318</v>
      </c>
      <c r="D10" t="n">
        <v>95</v>
      </c>
      <c r="E10" t="n">
        <v>90</v>
      </c>
    </row>
    <row r="11">
      <c r="A11" t="inlineStr">
        <is>
          <t>Basmati Rice 5kg</t>
        </is>
      </c>
      <c r="B11" t="n">
        <v>40</v>
      </c>
      <c r="C11" s="8" t="n">
        <v>1056</v>
      </c>
      <c r="D11" t="n">
        <v>40</v>
      </c>
      <c r="E11" t="n">
        <v>45</v>
      </c>
    </row>
    <row r="13">
      <c r="A13" s="6" t="inlineStr">
        <is>
          <t>Your task</t>
        </is>
      </c>
    </row>
    <row r="14">
      <c r="A14" s="7" t="inlineStr">
        <is>
          <t>In F2 type  =IF(D2&gt;=E2,"On target","Below")  and fill down. In G2 type =IFERROR(C2/B2,0)  and fill down. Row 7 has blank Cases on purpose — watch IFERROR return 0 there instead of #DIV/0!.</t>
        </is>
      </c>
    </row>
    <row r="15"/>
    <row r="16"/>
    <row r="17"/>
  </sheetData>
  <mergeCells count="1">
    <mergeCell ref="A14:E1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15" customWidth="1" min="3" max="3"/>
    <col width="9" customWidth="1" min="4" max="4"/>
    <col width="9" customWidth="1" min="5" max="5"/>
    <col width="12" customWidth="1" min="6" max="6"/>
    <col width="16" customWidth="1" min="7" max="7"/>
  </cols>
  <sheetData>
    <row r="1">
      <c r="A1" s="3" t="inlineStr">
        <is>
          <t>Product</t>
        </is>
      </c>
      <c r="B1" s="3" t="inlineStr">
        <is>
          <t>Cases</t>
        </is>
      </c>
      <c r="C1" s="3" t="inlineStr">
        <is>
          <t>Revenue (AUD)</t>
        </is>
      </c>
      <c r="D1" s="3" t="inlineStr">
        <is>
          <t>Actual</t>
        </is>
      </c>
      <c r="E1" s="3" t="inlineStr">
        <is>
          <t>Target</t>
        </is>
      </c>
      <c r="F1" s="3" t="inlineStr">
        <is>
          <t>Verdict</t>
        </is>
      </c>
      <c r="G1" s="3" t="inlineStr">
        <is>
          <t>Revenue per case</t>
        </is>
      </c>
    </row>
    <row r="2">
      <c r="A2" t="inlineStr">
        <is>
          <t>Stacked Chips 12pk 300g</t>
        </is>
      </c>
      <c r="B2" t="n">
        <v>120</v>
      </c>
      <c r="C2" s="8" t="n">
        <v>3480</v>
      </c>
      <c r="D2" t="n">
        <v>120</v>
      </c>
      <c r="E2" t="n">
        <v>100</v>
      </c>
      <c r="F2">
        <f>IF(D2&gt;=E2,"On target","Below")</f>
        <v/>
      </c>
      <c r="G2" s="8">
        <f>IFERROR(C2/B2,0)</f>
        <v/>
      </c>
    </row>
    <row r="3">
      <c r="A3" t="inlineStr">
        <is>
          <t>Corn Puffs 12pk 150g</t>
        </is>
      </c>
      <c r="B3" t="n">
        <v>90</v>
      </c>
      <c r="C3" s="8" t="n">
        <v>2232</v>
      </c>
      <c r="D3" t="n">
        <v>90</v>
      </c>
      <c r="E3" t="n">
        <v>110</v>
      </c>
      <c r="F3">
        <f>IF(D3&gt;=E3,"On target","Below")</f>
        <v/>
      </c>
      <c r="G3" s="8">
        <f>IFERROR(C3/B3,0)</f>
        <v/>
      </c>
    </row>
    <row r="4">
      <c r="A4" t="inlineStr">
        <is>
          <t>Rice Crackers 24pk 100g</t>
        </is>
      </c>
      <c r="B4" t="n">
        <v>70</v>
      </c>
      <c r="C4" s="8" t="n">
        <v>2625</v>
      </c>
      <c r="D4" t="n">
        <v>70</v>
      </c>
      <c r="E4" t="n">
        <v>60</v>
      </c>
      <c r="F4">
        <f>IF(D4&gt;=E4,"On target","Below")</f>
        <v/>
      </c>
      <c r="G4" s="8">
        <f>IFERROR(C4/B4,0)</f>
        <v/>
      </c>
    </row>
    <row r="5">
      <c r="A5" t="inlineStr">
        <is>
          <t>Popcorn 10pk 100g</t>
        </is>
      </c>
      <c r="B5" t="n">
        <v>130</v>
      </c>
      <c r="C5" s="8" t="n">
        <v>2210</v>
      </c>
      <c r="D5" t="n">
        <v>130</v>
      </c>
      <c r="E5" t="n">
        <v>150</v>
      </c>
      <c r="F5">
        <f>IF(D5&gt;=E5,"On target","Below")</f>
        <v/>
      </c>
      <c r="G5" s="8">
        <f>IFERROR(C5/B5,0)</f>
        <v/>
      </c>
    </row>
    <row r="6">
      <c r="A6" t="inlineStr">
        <is>
          <t>Sourdough Loaf 800g</t>
        </is>
      </c>
      <c r="B6" t="n">
        <v>85</v>
      </c>
      <c r="C6" s="8" t="n">
        <v>3060</v>
      </c>
      <c r="D6" t="n">
        <v>85</v>
      </c>
      <c r="E6" t="n">
        <v>80</v>
      </c>
      <c r="F6">
        <f>IF(D6&gt;=E6,"On target","Below")</f>
        <v/>
      </c>
      <c r="G6" s="8">
        <f>IFERROR(C6/B6,0)</f>
        <v/>
      </c>
    </row>
    <row r="7">
      <c r="A7" t="inlineStr">
        <is>
          <t>Cheddar Cheese 500g</t>
        </is>
      </c>
      <c r="C7" s="8" t="n">
        <v>2450</v>
      </c>
      <c r="D7" t="n">
        <v>50</v>
      </c>
      <c r="E7" t="n">
        <v>60</v>
      </c>
      <c r="F7">
        <f>IF(D7&gt;=E7,"On target","Below")</f>
        <v/>
      </c>
      <c r="G7" s="8">
        <f>IFERROR(C7/B7,0)</f>
        <v/>
      </c>
    </row>
    <row r="8">
      <c r="A8" t="inlineStr">
        <is>
          <t>Salted Butter 250g</t>
        </is>
      </c>
      <c r="B8" t="n">
        <v>55</v>
      </c>
      <c r="C8" s="8" t="n">
        <v>1749</v>
      </c>
      <c r="D8" t="n">
        <v>55</v>
      </c>
      <c r="E8" t="n">
        <v>50</v>
      </c>
      <c r="F8">
        <f>IF(D8&gt;=E8,"On target","Below")</f>
        <v/>
      </c>
      <c r="G8" s="8">
        <f>IFERROR(C8/B8,0)</f>
        <v/>
      </c>
    </row>
    <row r="9">
      <c r="A9" t="inlineStr">
        <is>
          <t>Greek Yoghurt 1kg</t>
        </is>
      </c>
      <c r="B9" t="n">
        <v>65</v>
      </c>
      <c r="C9" s="8" t="n">
        <v>1248</v>
      </c>
      <c r="D9" t="n">
        <v>65</v>
      </c>
      <c r="E9" t="n">
        <v>70</v>
      </c>
      <c r="F9">
        <f>IF(D9&gt;=E9,"On target","Below")</f>
        <v/>
      </c>
      <c r="G9" s="8">
        <f>IFERROR(C9/B9,0)</f>
        <v/>
      </c>
    </row>
    <row r="10">
      <c r="A10" t="inlineStr">
        <is>
          <t>Free-range Eggs 12pk</t>
        </is>
      </c>
      <c r="B10" t="n">
        <v>95</v>
      </c>
      <c r="C10" s="8" t="n">
        <v>2318</v>
      </c>
      <c r="D10" t="n">
        <v>95</v>
      </c>
      <c r="E10" t="n">
        <v>90</v>
      </c>
      <c r="F10">
        <f>IF(D10&gt;=E10,"On target","Below")</f>
        <v/>
      </c>
      <c r="G10" s="8">
        <f>IFERROR(C10/B10,0)</f>
        <v/>
      </c>
    </row>
    <row r="11">
      <c r="A11" t="inlineStr">
        <is>
          <t>Basmati Rice 5kg</t>
        </is>
      </c>
      <c r="B11" t="n">
        <v>40</v>
      </c>
      <c r="C11" s="8" t="n">
        <v>1056</v>
      </c>
      <c r="D11" t="n">
        <v>40</v>
      </c>
      <c r="E11" t="n">
        <v>45</v>
      </c>
      <c r="F11">
        <f>IF(D11&gt;=E11,"On target","Below")</f>
        <v/>
      </c>
      <c r="G11" s="8">
        <f>IFERROR(C11/B11,0)</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 customWidth="1" min="3" max="3"/>
    <col width="15" customWidth="1" min="4" max="4"/>
    <col width="12" customWidth="1" min="6" max="6"/>
    <col width="12" customWidth="1" min="7" max="7"/>
    <col width="14" customWidth="1" min="8" max="8"/>
    <col width="12" customWidth="1" min="9" max="9"/>
    <col width="12" customWidth="1" min="10" max="10"/>
  </cols>
  <sheetData>
    <row r="1">
      <c r="A1" s="3" t="inlineStr">
        <is>
          <t>Category</t>
        </is>
      </c>
      <c r="B1" s="3" t="inlineStr">
        <is>
          <t>Product</t>
        </is>
      </c>
      <c r="C1" s="3" t="inlineStr">
        <is>
          <t>Cases</t>
        </is>
      </c>
      <c r="D1" s="3" t="inlineStr">
        <is>
          <t>Revenue (AUD)</t>
        </is>
      </c>
      <c r="F1" s="3" t="inlineStr">
        <is>
          <t>Category</t>
        </is>
      </c>
      <c r="G1" s="3" t="inlineStr">
        <is>
          <t>Line count</t>
        </is>
      </c>
      <c r="H1" s="3" t="inlineStr">
        <is>
          <t>Avg revenue</t>
        </is>
      </c>
    </row>
    <row r="2">
      <c r="A2" t="inlineStr">
        <is>
          <t>Snacks</t>
        </is>
      </c>
      <c r="B2" t="inlineStr">
        <is>
          <t>Stacked Chips 12pk 300g</t>
        </is>
      </c>
      <c r="C2" t="n">
        <v>120</v>
      </c>
      <c r="D2" s="9" t="n">
        <v>3480</v>
      </c>
      <c r="F2" t="inlineStr">
        <is>
          <t>Snacks</t>
        </is>
      </c>
    </row>
    <row r="3">
      <c r="A3" t="inlineStr">
        <is>
          <t>Snacks</t>
        </is>
      </c>
      <c r="B3" t="inlineStr">
        <is>
          <t>Corn Puffs 12pk 150g</t>
        </is>
      </c>
      <c r="C3" t="n">
        <v>90</v>
      </c>
      <c r="D3" s="9" t="n">
        <v>2232</v>
      </c>
      <c r="F3" t="inlineStr">
        <is>
          <t>Bakery</t>
        </is>
      </c>
    </row>
    <row r="4">
      <c r="A4" t="inlineStr">
        <is>
          <t>Snacks</t>
        </is>
      </c>
      <c r="B4" t="inlineStr">
        <is>
          <t>Rice Crackers 24pk 100g</t>
        </is>
      </c>
      <c r="C4" t="n">
        <v>70</v>
      </c>
      <c r="D4" s="9" t="n">
        <v>2625</v>
      </c>
      <c r="F4" t="inlineStr">
        <is>
          <t>Dairy</t>
        </is>
      </c>
    </row>
    <row r="5">
      <c r="A5" t="inlineStr">
        <is>
          <t>Snacks</t>
        </is>
      </c>
      <c r="B5" t="inlineStr">
        <is>
          <t>Popcorn 10pk 100g</t>
        </is>
      </c>
      <c r="C5" t="n">
        <v>130</v>
      </c>
      <c r="D5" s="9" t="n">
        <v>2210</v>
      </c>
      <c r="F5" t="inlineStr">
        <is>
          <t>Produce</t>
        </is>
      </c>
    </row>
    <row r="6">
      <c r="A6" t="inlineStr">
        <is>
          <t>Bakery</t>
        </is>
      </c>
      <c r="B6" t="inlineStr">
        <is>
          <t>Sourdough Loaf 800g</t>
        </is>
      </c>
      <c r="C6" t="n">
        <v>85</v>
      </c>
      <c r="D6" s="9" t="n">
        <v>3060</v>
      </c>
    </row>
    <row r="7">
      <c r="A7" t="inlineStr">
        <is>
          <t>Bakery</t>
        </is>
      </c>
      <c r="B7" t="inlineStr">
        <is>
          <t>Ciabatta Rolls 6pk</t>
        </is>
      </c>
      <c r="C7" t="n">
        <v>60</v>
      </c>
      <c r="D7" s="9" t="n">
        <v>1440</v>
      </c>
      <c r="F7" s="6" t="inlineStr">
        <is>
          <t>Your task</t>
        </is>
      </c>
    </row>
    <row r="8">
      <c r="A8" t="inlineStr">
        <is>
          <t>Bakery</t>
        </is>
      </c>
      <c r="B8" t="inlineStr">
        <is>
          <t>Bagels 6pk</t>
        </is>
      </c>
      <c r="C8" t="n">
        <v>75</v>
      </c>
      <c r="D8" s="9" t="n">
        <v>1875</v>
      </c>
      <c r="F8" s="7" t="inlineStr">
        <is>
          <t>The categories are listed from F2 down. In G2 type  =COUNTIFS($A$2:$A$15,F2)  and fill down for the line count. In H2 type  =ROUND(AVERAGEIFS($D$2:$D$15,$A$2:$A$15,F2),0)  and fill down for the whole-dollar average. The $ locks the data ranges as you fill.</t>
        </is>
      </c>
    </row>
    <row r="9">
      <c r="A9" t="inlineStr">
        <is>
          <t>Dairy</t>
        </is>
      </c>
      <c r="B9" t="inlineStr">
        <is>
          <t>Cheddar Cheese 500g</t>
        </is>
      </c>
      <c r="C9" t="n">
        <v>50</v>
      </c>
      <c r="D9" s="9" t="n">
        <v>2450</v>
      </c>
    </row>
    <row r="10">
      <c r="A10" t="inlineStr">
        <is>
          <t>Dairy</t>
        </is>
      </c>
      <c r="B10" t="inlineStr">
        <is>
          <t>Salted Butter 250g</t>
        </is>
      </c>
      <c r="C10" t="n">
        <v>55</v>
      </c>
      <c r="D10" s="9" t="n">
        <v>1749</v>
      </c>
    </row>
    <row r="11">
      <c r="A11" t="inlineStr">
        <is>
          <t>Dairy</t>
        </is>
      </c>
      <c r="B11" t="inlineStr">
        <is>
          <t>Greek Yoghurt 1kg</t>
        </is>
      </c>
      <c r="C11" t="n">
        <v>65</v>
      </c>
      <c r="D11" s="9" t="n">
        <v>1248</v>
      </c>
    </row>
    <row r="12">
      <c r="A12" t="inlineStr">
        <is>
          <t>Dairy</t>
        </is>
      </c>
      <c r="B12" t="inlineStr">
        <is>
          <t>Milk 2L</t>
        </is>
      </c>
      <c r="C12" t="n">
        <v>140</v>
      </c>
      <c r="D12" s="9" t="n">
        <v>2100</v>
      </c>
    </row>
    <row r="13">
      <c r="A13" t="inlineStr">
        <is>
          <t>Produce</t>
        </is>
      </c>
      <c r="B13" t="inlineStr">
        <is>
          <t>Bananas 1kg</t>
        </is>
      </c>
      <c r="C13" t="n">
        <v>200</v>
      </c>
      <c r="D13" s="9" t="n">
        <v>1000</v>
      </c>
    </row>
    <row r="14">
      <c r="A14" t="inlineStr">
        <is>
          <t>Produce</t>
        </is>
      </c>
      <c r="B14" t="inlineStr">
        <is>
          <t>Baby Spinach 200g</t>
        </is>
      </c>
      <c r="C14" t="n">
        <v>90</v>
      </c>
      <c r="D14" s="9" t="n">
        <v>810</v>
      </c>
    </row>
    <row r="15">
      <c r="A15" t="inlineStr">
        <is>
          <t>Produce</t>
        </is>
      </c>
      <c r="B15" t="inlineStr">
        <is>
          <t>Cherry Tomatoes 250g</t>
        </is>
      </c>
      <c r="C15" t="n">
        <v>110</v>
      </c>
      <c r="D15" s="9" t="n">
        <v>1320</v>
      </c>
    </row>
  </sheetData>
  <mergeCells count="1">
    <mergeCell ref="F8:J1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 customWidth="1" min="3" max="3"/>
    <col width="15" customWidth="1" min="4" max="4"/>
    <col width="12" customWidth="1" min="6" max="6"/>
    <col width="12" customWidth="1" min="7" max="7"/>
    <col width="14" customWidth="1" min="8" max="8"/>
  </cols>
  <sheetData>
    <row r="1">
      <c r="A1" s="3" t="inlineStr">
        <is>
          <t>Category</t>
        </is>
      </c>
      <c r="B1" s="3" t="inlineStr">
        <is>
          <t>Product</t>
        </is>
      </c>
      <c r="C1" s="3" t="inlineStr">
        <is>
          <t>Cases</t>
        </is>
      </c>
      <c r="D1" s="3" t="inlineStr">
        <is>
          <t>Revenue (AUD)</t>
        </is>
      </c>
      <c r="F1" s="3" t="inlineStr">
        <is>
          <t>Category</t>
        </is>
      </c>
      <c r="G1" s="3" t="inlineStr">
        <is>
          <t>Line count</t>
        </is>
      </c>
      <c r="H1" s="3" t="inlineStr">
        <is>
          <t>Avg revenue</t>
        </is>
      </c>
    </row>
    <row r="2">
      <c r="A2" t="inlineStr">
        <is>
          <t>Snacks</t>
        </is>
      </c>
      <c r="B2" t="inlineStr">
        <is>
          <t>Stacked Chips 12pk 300g</t>
        </is>
      </c>
      <c r="C2" t="n">
        <v>120</v>
      </c>
      <c r="D2" s="9" t="n">
        <v>3480</v>
      </c>
      <c r="F2" t="inlineStr">
        <is>
          <t>Snacks</t>
        </is>
      </c>
      <c r="G2">
        <f>COUNTIFS($A$2:$A$15,F2)</f>
        <v/>
      </c>
      <c r="H2" s="9">
        <f>ROUND(AVERAGEIFS($D$2:$D$15,$A$2:$A$15,F2),0)</f>
        <v/>
      </c>
    </row>
    <row r="3">
      <c r="A3" t="inlineStr">
        <is>
          <t>Snacks</t>
        </is>
      </c>
      <c r="B3" t="inlineStr">
        <is>
          <t>Corn Puffs 12pk 150g</t>
        </is>
      </c>
      <c r="C3" t="n">
        <v>90</v>
      </c>
      <c r="D3" s="9" t="n">
        <v>2232</v>
      </c>
      <c r="F3" t="inlineStr">
        <is>
          <t>Bakery</t>
        </is>
      </c>
      <c r="G3">
        <f>COUNTIFS($A$2:$A$15,F3)</f>
        <v/>
      </c>
      <c r="H3" s="9">
        <f>ROUND(AVERAGEIFS($D$2:$D$15,$A$2:$A$15,F3),0)</f>
        <v/>
      </c>
    </row>
    <row r="4">
      <c r="A4" t="inlineStr">
        <is>
          <t>Snacks</t>
        </is>
      </c>
      <c r="B4" t="inlineStr">
        <is>
          <t>Rice Crackers 24pk 100g</t>
        </is>
      </c>
      <c r="C4" t="n">
        <v>70</v>
      </c>
      <c r="D4" s="9" t="n">
        <v>2625</v>
      </c>
      <c r="F4" t="inlineStr">
        <is>
          <t>Dairy</t>
        </is>
      </c>
      <c r="G4">
        <f>COUNTIFS($A$2:$A$15,F4)</f>
        <v/>
      </c>
      <c r="H4" s="9">
        <f>ROUND(AVERAGEIFS($D$2:$D$15,$A$2:$A$15,F4),0)</f>
        <v/>
      </c>
    </row>
    <row r="5">
      <c r="A5" t="inlineStr">
        <is>
          <t>Snacks</t>
        </is>
      </c>
      <c r="B5" t="inlineStr">
        <is>
          <t>Popcorn 10pk 100g</t>
        </is>
      </c>
      <c r="C5" t="n">
        <v>130</v>
      </c>
      <c r="D5" s="9" t="n">
        <v>2210</v>
      </c>
      <c r="F5" t="inlineStr">
        <is>
          <t>Produce</t>
        </is>
      </c>
      <c r="G5">
        <f>COUNTIFS($A$2:$A$15,F5)</f>
        <v/>
      </c>
      <c r="H5" s="9">
        <f>ROUND(AVERAGEIFS($D$2:$D$15,$A$2:$A$15,F5),0)</f>
        <v/>
      </c>
    </row>
    <row r="6">
      <c r="A6" t="inlineStr">
        <is>
          <t>Bakery</t>
        </is>
      </c>
      <c r="B6" t="inlineStr">
        <is>
          <t>Sourdough Loaf 800g</t>
        </is>
      </c>
      <c r="C6" t="n">
        <v>85</v>
      </c>
      <c r="D6" s="9" t="n">
        <v>3060</v>
      </c>
    </row>
    <row r="7">
      <c r="A7" t="inlineStr">
        <is>
          <t>Bakery</t>
        </is>
      </c>
      <c r="B7" t="inlineStr">
        <is>
          <t>Ciabatta Rolls 6pk</t>
        </is>
      </c>
      <c r="C7" t="n">
        <v>60</v>
      </c>
      <c r="D7" s="9" t="n">
        <v>1440</v>
      </c>
    </row>
    <row r="8">
      <c r="A8" t="inlineStr">
        <is>
          <t>Bakery</t>
        </is>
      </c>
      <c r="B8" t="inlineStr">
        <is>
          <t>Bagels 6pk</t>
        </is>
      </c>
      <c r="C8" t="n">
        <v>75</v>
      </c>
      <c r="D8" s="9" t="n">
        <v>1875</v>
      </c>
    </row>
    <row r="9">
      <c r="A9" t="inlineStr">
        <is>
          <t>Dairy</t>
        </is>
      </c>
      <c r="B9" t="inlineStr">
        <is>
          <t>Cheddar Cheese 500g</t>
        </is>
      </c>
      <c r="C9" t="n">
        <v>50</v>
      </c>
      <c r="D9" s="9" t="n">
        <v>2450</v>
      </c>
    </row>
    <row r="10">
      <c r="A10" t="inlineStr">
        <is>
          <t>Dairy</t>
        </is>
      </c>
      <c r="B10" t="inlineStr">
        <is>
          <t>Salted Butter 250g</t>
        </is>
      </c>
      <c r="C10" t="n">
        <v>55</v>
      </c>
      <c r="D10" s="9" t="n">
        <v>1749</v>
      </c>
    </row>
    <row r="11">
      <c r="A11" t="inlineStr">
        <is>
          <t>Dairy</t>
        </is>
      </c>
      <c r="B11" t="inlineStr">
        <is>
          <t>Greek Yoghurt 1kg</t>
        </is>
      </c>
      <c r="C11" t="n">
        <v>65</v>
      </c>
      <c r="D11" s="9" t="n">
        <v>1248</v>
      </c>
    </row>
    <row r="12">
      <c r="A12" t="inlineStr">
        <is>
          <t>Dairy</t>
        </is>
      </c>
      <c r="B12" t="inlineStr">
        <is>
          <t>Milk 2L</t>
        </is>
      </c>
      <c r="C12" t="n">
        <v>140</v>
      </c>
      <c r="D12" s="9" t="n">
        <v>2100</v>
      </c>
    </row>
    <row r="13">
      <c r="A13" t="inlineStr">
        <is>
          <t>Produce</t>
        </is>
      </c>
      <c r="B13" t="inlineStr">
        <is>
          <t>Bananas 1kg</t>
        </is>
      </c>
      <c r="C13" t="n">
        <v>200</v>
      </c>
      <c r="D13" s="9" t="n">
        <v>1000</v>
      </c>
    </row>
    <row r="14">
      <c r="A14" t="inlineStr">
        <is>
          <t>Produce</t>
        </is>
      </c>
      <c r="B14" t="inlineStr">
        <is>
          <t>Baby Spinach 200g</t>
        </is>
      </c>
      <c r="C14" t="n">
        <v>90</v>
      </c>
      <c r="D14" s="9" t="n">
        <v>810</v>
      </c>
    </row>
    <row r="15">
      <c r="A15" t="inlineStr">
        <is>
          <t>Produce</t>
        </is>
      </c>
      <c r="B15" t="inlineStr">
        <is>
          <t>Cherry Tomatoes 250g</t>
        </is>
      </c>
      <c r="C15" t="n">
        <v>110</v>
      </c>
      <c r="D15" s="9" t="n">
        <v>1320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26" customWidth="1" min="4" max="4"/>
    <col width="9" customWidth="1" min="5" max="5"/>
    <col width="15" customWidth="1" min="6" max="6"/>
    <col width="12" customWidth="1" min="8" max="8"/>
    <col width="12" customWidth="1" min="9" max="9"/>
    <col width="20" customWidth="1" min="10" max="10"/>
  </cols>
  <sheetData>
    <row r="1">
      <c r="A1" s="3" t="inlineStr">
        <is>
          <t>Month</t>
        </is>
      </c>
      <c r="B1" s="3" t="inlineStr">
        <is>
          <t>Category</t>
        </is>
      </c>
      <c r="C1" s="3" t="inlineStr">
        <is>
          <t>Supplier</t>
        </is>
      </c>
      <c r="D1" s="3" t="inlineStr">
        <is>
          <t>Product</t>
        </is>
      </c>
      <c r="E1" s="3" t="inlineStr">
        <is>
          <t>Cases</t>
        </is>
      </c>
      <c r="F1" s="3" t="inlineStr">
        <is>
          <t>Revenue (AUD)</t>
        </is>
      </c>
      <c r="H1" s="3" t="inlineStr">
        <is>
          <t>Category</t>
        </is>
      </c>
      <c r="I1" s="3" t="inlineStr">
        <is>
          <t>Total Cases</t>
        </is>
      </c>
      <c r="J1" s="3" t="inlineStr">
        <is>
          <t>Total Revenue (AUD)</t>
        </is>
      </c>
    </row>
    <row r="2">
      <c r="A2" t="inlineStr">
        <is>
          <t>Jan</t>
        </is>
      </c>
      <c r="B2" t="inlineStr">
        <is>
          <t>Snacks</t>
        </is>
      </c>
      <c r="C2" t="inlineStr">
        <is>
          <t>Acme Foods</t>
        </is>
      </c>
      <c r="D2" t="inlineStr">
        <is>
          <t>Stacked Chips 12pk 300g</t>
        </is>
      </c>
      <c r="E2" t="n">
        <v>120</v>
      </c>
      <c r="F2" s="8" t="n">
        <v>3480</v>
      </c>
      <c r="H2" t="inlineStr">
        <is>
          <t>Snacks</t>
        </is>
      </c>
    </row>
    <row r="3">
      <c r="A3" t="inlineStr">
        <is>
          <t>Jan</t>
        </is>
      </c>
      <c r="B3" t="inlineStr">
        <is>
          <t>Snacks</t>
        </is>
      </c>
      <c r="C3" t="inlineStr">
        <is>
          <t>Acme Foods</t>
        </is>
      </c>
      <c r="D3" t="inlineStr">
        <is>
          <t>Corn Puffs 12pk 150g</t>
        </is>
      </c>
      <c r="E3" t="n">
        <v>90</v>
      </c>
      <c r="F3" s="8" t="n">
        <v>2232</v>
      </c>
      <c r="H3" t="inlineStr">
        <is>
          <t>Bakery</t>
        </is>
      </c>
    </row>
    <row r="4">
      <c r="A4" t="inlineStr">
        <is>
          <t>Jan</t>
        </is>
      </c>
      <c r="B4" t="inlineStr">
        <is>
          <t>Bakery</t>
        </is>
      </c>
      <c r="C4" t="inlineStr">
        <is>
          <t>BrightHarvest</t>
        </is>
      </c>
      <c r="D4" t="inlineStr">
        <is>
          <t>Sourdough Loaf 800g</t>
        </is>
      </c>
      <c r="E4" t="n">
        <v>60</v>
      </c>
      <c r="F4" s="8" t="n">
        <v>2160</v>
      </c>
      <c r="H4" t="inlineStr">
        <is>
          <t>Dairy</t>
        </is>
      </c>
    </row>
    <row r="5">
      <c r="A5" t="inlineStr">
        <is>
          <t>Jan</t>
        </is>
      </c>
      <c r="B5" t="inlineStr">
        <is>
          <t>Dairy</t>
        </is>
      </c>
      <c r="C5" t="inlineStr">
        <is>
          <t>Coastal Co</t>
        </is>
      </c>
      <c r="D5" t="inlineStr">
        <is>
          <t>Cheddar Cheese 500g</t>
        </is>
      </c>
      <c r="E5" t="n">
        <v>45</v>
      </c>
      <c r="F5" s="8" t="n">
        <v>2205</v>
      </c>
      <c r="H5" t="inlineStr">
        <is>
          <t>Produce</t>
        </is>
      </c>
    </row>
    <row r="6">
      <c r="A6" t="inlineStr">
        <is>
          <t>Jan</t>
        </is>
      </c>
      <c r="B6" t="inlineStr">
        <is>
          <t>Produce</t>
        </is>
      </c>
      <c r="C6" t="inlineStr">
        <is>
          <t>GreenField</t>
        </is>
      </c>
      <c r="D6" t="inlineStr">
        <is>
          <t>Free-range Eggs 12pk</t>
        </is>
      </c>
      <c r="E6" t="n">
        <v>80</v>
      </c>
      <c r="F6" s="8" t="n">
        <v>1952</v>
      </c>
    </row>
    <row r="7">
      <c r="A7" t="inlineStr">
        <is>
          <t>Feb</t>
        </is>
      </c>
      <c r="B7" t="inlineStr">
        <is>
          <t>Snacks</t>
        </is>
      </c>
      <c r="C7" t="inlineStr">
        <is>
          <t>Acme Foods</t>
        </is>
      </c>
      <c r="D7" t="inlineStr">
        <is>
          <t>Stacked Chips 12pk 300g</t>
        </is>
      </c>
      <c r="E7" t="n">
        <v>140</v>
      </c>
      <c r="F7" s="8" t="n">
        <v>4060</v>
      </c>
      <c r="H7" s="6" t="inlineStr">
        <is>
          <t>Your task</t>
        </is>
      </c>
    </row>
    <row r="8">
      <c r="A8" t="inlineStr">
        <is>
          <t>Feb</t>
        </is>
      </c>
      <c r="B8" t="inlineStr">
        <is>
          <t>Snacks</t>
        </is>
      </c>
      <c r="C8" t="inlineStr">
        <is>
          <t>Harvest Lane</t>
        </is>
      </c>
      <c r="D8" t="inlineStr">
        <is>
          <t>Rice Crackers 24pk 100g</t>
        </is>
      </c>
      <c r="E8" t="n">
        <v>70</v>
      </c>
      <c r="F8" s="8" t="n">
        <v>2625</v>
      </c>
      <c r="H8" s="7" t="inlineStr">
        <is>
          <t>In I2 total Cases for Snacks with  =SUMIFS($E$2:$E$19,$B$2:$B$19,H2)  and in J2 total Revenue with  =SUMIFS($F$2:$F$19,$B$2:$B$19,H2) . Fill down to row 5 — each category totals itself. The dollar signs lock the list so the fill stays honest.</t>
        </is>
      </c>
    </row>
    <row r="9">
      <c r="A9" t="inlineStr">
        <is>
          <t>Feb</t>
        </is>
      </c>
      <c r="B9" t="inlineStr">
        <is>
          <t>Bakery</t>
        </is>
      </c>
      <c r="C9" t="inlineStr">
        <is>
          <t>BrightHarvest</t>
        </is>
      </c>
      <c r="D9" t="inlineStr">
        <is>
          <t>Sourdough Loaf 800g</t>
        </is>
      </c>
      <c r="E9" t="n">
        <v>75</v>
      </c>
      <c r="F9" s="8" t="n">
        <v>2700</v>
      </c>
    </row>
    <row r="10">
      <c r="A10" t="inlineStr">
        <is>
          <t>Feb</t>
        </is>
      </c>
      <c r="B10" t="inlineStr">
        <is>
          <t>Dairy</t>
        </is>
      </c>
      <c r="C10" t="inlineStr">
        <is>
          <t>Coastal Co</t>
        </is>
      </c>
      <c r="D10" t="inlineStr">
        <is>
          <t>Salted Butter 250g</t>
        </is>
      </c>
      <c r="E10" t="n">
        <v>55</v>
      </c>
      <c r="F10" s="8" t="n">
        <v>1749</v>
      </c>
    </row>
    <row r="11">
      <c r="A11" t="inlineStr">
        <is>
          <t>Feb</t>
        </is>
      </c>
      <c r="B11" t="inlineStr">
        <is>
          <t>Dairy</t>
        </is>
      </c>
      <c r="C11" t="inlineStr">
        <is>
          <t>Coastal Co</t>
        </is>
      </c>
      <c r="D11" t="inlineStr">
        <is>
          <t>Greek Yoghurt 1kg</t>
        </is>
      </c>
      <c r="E11" t="n">
        <v>65</v>
      </c>
      <c r="F11" s="8" t="n">
        <v>1248</v>
      </c>
    </row>
    <row r="12">
      <c r="A12" t="inlineStr">
        <is>
          <t>Feb</t>
        </is>
      </c>
      <c r="B12" t="inlineStr">
        <is>
          <t>Produce</t>
        </is>
      </c>
      <c r="C12" t="inlineStr">
        <is>
          <t>GreenField</t>
        </is>
      </c>
      <c r="D12" t="inlineStr">
        <is>
          <t>Free-range Eggs 12pk</t>
        </is>
      </c>
      <c r="E12" t="n">
        <v>95</v>
      </c>
      <c r="F12" s="8" t="n">
        <v>2318</v>
      </c>
    </row>
    <row r="13">
      <c r="A13" t="inlineStr">
        <is>
          <t>Mar</t>
        </is>
      </c>
      <c r="B13" t="inlineStr">
        <is>
          <t>Snacks</t>
        </is>
      </c>
      <c r="C13" t="inlineStr">
        <is>
          <t>Acme Foods</t>
        </is>
      </c>
      <c r="D13" t="inlineStr">
        <is>
          <t>Corn Puffs 12pk 150g</t>
        </is>
      </c>
      <c r="E13" t="n">
        <v>110</v>
      </c>
      <c r="F13" s="8" t="n">
        <v>2728</v>
      </c>
    </row>
    <row r="14">
      <c r="A14" t="inlineStr">
        <is>
          <t>Mar</t>
        </is>
      </c>
      <c r="B14" t="inlineStr">
        <is>
          <t>Snacks</t>
        </is>
      </c>
      <c r="C14" t="inlineStr">
        <is>
          <t>Harvest Lane</t>
        </is>
      </c>
      <c r="D14" t="inlineStr">
        <is>
          <t>Popcorn 10pk 100g</t>
        </is>
      </c>
      <c r="E14" t="n">
        <v>130</v>
      </c>
      <c r="F14" s="8" t="n">
        <v>2210</v>
      </c>
    </row>
    <row r="15">
      <c r="A15" t="inlineStr">
        <is>
          <t>Mar</t>
        </is>
      </c>
      <c r="B15" t="inlineStr">
        <is>
          <t>Bakery</t>
        </is>
      </c>
      <c r="C15" t="inlineStr">
        <is>
          <t>BrightHarvest</t>
        </is>
      </c>
      <c r="D15" t="inlineStr">
        <is>
          <t>Sourdough Loaf 800g</t>
        </is>
      </c>
      <c r="E15" t="n">
        <v>85</v>
      </c>
      <c r="F15" s="8" t="n">
        <v>3060</v>
      </c>
    </row>
    <row r="16">
      <c r="A16" t="inlineStr">
        <is>
          <t>Mar</t>
        </is>
      </c>
      <c r="B16" t="inlineStr">
        <is>
          <t>Dairy</t>
        </is>
      </c>
      <c r="C16" t="inlineStr">
        <is>
          <t>Coastal Co</t>
        </is>
      </c>
      <c r="D16" t="inlineStr">
        <is>
          <t>Cheddar Cheese 500g</t>
        </is>
      </c>
      <c r="E16" t="n">
        <v>50</v>
      </c>
      <c r="F16" s="8" t="n">
        <v>2450</v>
      </c>
    </row>
    <row r="17">
      <c r="A17" t="inlineStr">
        <is>
          <t>Mar</t>
        </is>
      </c>
      <c r="B17" t="inlineStr">
        <is>
          <t>Produce</t>
        </is>
      </c>
      <c r="C17" t="inlineStr">
        <is>
          <t>GreenField</t>
        </is>
      </c>
      <c r="D17" t="inlineStr">
        <is>
          <t>Basmati Rice 5kg</t>
        </is>
      </c>
      <c r="E17" t="n">
        <v>40</v>
      </c>
      <c r="F17" s="8" t="n">
        <v>1056</v>
      </c>
    </row>
    <row r="18">
      <c r="A18" t="inlineStr">
        <is>
          <t>Mar</t>
        </is>
      </c>
      <c r="B18" t="inlineStr">
        <is>
          <t>Produce</t>
        </is>
      </c>
      <c r="C18" t="inlineStr">
        <is>
          <t>GreenField</t>
        </is>
      </c>
      <c r="D18" t="inlineStr">
        <is>
          <t>Orange Juice 2L</t>
        </is>
      </c>
      <c r="E18" t="n">
        <v>100</v>
      </c>
      <c r="F18" s="8" t="n">
        <v>1920</v>
      </c>
    </row>
    <row r="19">
      <c r="A19" t="inlineStr">
        <is>
          <t>Mar</t>
        </is>
      </c>
      <c r="B19" t="inlineStr">
        <is>
          <t>Snacks</t>
        </is>
      </c>
      <c r="C19" t="inlineStr">
        <is>
          <t>Harvest Lane</t>
        </is>
      </c>
      <c r="D19" t="inlineStr">
        <is>
          <t>Pretzel Bites 20pk 220g</t>
        </is>
      </c>
      <c r="E19" t="n">
        <v>60</v>
      </c>
      <c r="F19" s="8" t="n">
        <v>1836</v>
      </c>
    </row>
  </sheetData>
  <mergeCells count="1">
    <mergeCell ref="H8:J1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26" customWidth="1" min="4" max="4"/>
    <col width="9" customWidth="1" min="5" max="5"/>
    <col width="15" customWidth="1" min="6" max="6"/>
    <col width="12" customWidth="1" min="8" max="8"/>
    <col width="12" customWidth="1" min="9" max="9"/>
    <col width="20" customWidth="1" min="10" max="10"/>
  </cols>
  <sheetData>
    <row r="1">
      <c r="A1" s="3" t="inlineStr">
        <is>
          <t>Month</t>
        </is>
      </c>
      <c r="B1" s="3" t="inlineStr">
        <is>
          <t>Category</t>
        </is>
      </c>
      <c r="C1" s="3" t="inlineStr">
        <is>
          <t>Supplier</t>
        </is>
      </c>
      <c r="D1" s="3" t="inlineStr">
        <is>
          <t>Product</t>
        </is>
      </c>
      <c r="E1" s="3" t="inlineStr">
        <is>
          <t>Cases</t>
        </is>
      </c>
      <c r="F1" s="3" t="inlineStr">
        <is>
          <t>Revenue (AUD)</t>
        </is>
      </c>
      <c r="H1" s="3" t="inlineStr">
        <is>
          <t>Category</t>
        </is>
      </c>
      <c r="I1" s="3" t="inlineStr">
        <is>
          <t>Total Cases</t>
        </is>
      </c>
      <c r="J1" s="3" t="inlineStr">
        <is>
          <t>Total Revenue (AUD)</t>
        </is>
      </c>
    </row>
    <row r="2">
      <c r="A2" t="inlineStr">
        <is>
          <t>Jan</t>
        </is>
      </c>
      <c r="B2" t="inlineStr">
        <is>
          <t>Snacks</t>
        </is>
      </c>
      <c r="C2" t="inlineStr">
        <is>
          <t>Acme Foods</t>
        </is>
      </c>
      <c r="D2" t="inlineStr">
        <is>
          <t>Stacked Chips 12pk 300g</t>
        </is>
      </c>
      <c r="E2" t="n">
        <v>120</v>
      </c>
      <c r="F2" s="8" t="n">
        <v>3480</v>
      </c>
      <c r="H2" t="inlineStr">
        <is>
          <t>Snacks</t>
        </is>
      </c>
      <c r="I2">
        <f>SUMIFS($E$2:$E$19,$B$2:$B$19,H2)</f>
        <v/>
      </c>
      <c r="J2" s="8">
        <f>SUMIFS($F$2:$F$19,$B$2:$B$19,H2)</f>
        <v/>
      </c>
    </row>
    <row r="3">
      <c r="A3" t="inlineStr">
        <is>
          <t>Jan</t>
        </is>
      </c>
      <c r="B3" t="inlineStr">
        <is>
          <t>Snacks</t>
        </is>
      </c>
      <c r="C3" t="inlineStr">
        <is>
          <t>Acme Foods</t>
        </is>
      </c>
      <c r="D3" t="inlineStr">
        <is>
          <t>Corn Puffs 12pk 150g</t>
        </is>
      </c>
      <c r="E3" t="n">
        <v>90</v>
      </c>
      <c r="F3" s="8" t="n">
        <v>2232</v>
      </c>
      <c r="H3" t="inlineStr">
        <is>
          <t>Bakery</t>
        </is>
      </c>
      <c r="I3">
        <f>SUMIFS($E$2:$E$19,$B$2:$B$19,H3)</f>
        <v/>
      </c>
      <c r="J3" s="8">
        <f>SUMIFS($F$2:$F$19,$B$2:$B$19,H3)</f>
        <v/>
      </c>
    </row>
    <row r="4">
      <c r="A4" t="inlineStr">
        <is>
          <t>Jan</t>
        </is>
      </c>
      <c r="B4" t="inlineStr">
        <is>
          <t>Bakery</t>
        </is>
      </c>
      <c r="C4" t="inlineStr">
        <is>
          <t>BrightHarvest</t>
        </is>
      </c>
      <c r="D4" t="inlineStr">
        <is>
          <t>Sourdough Loaf 800g</t>
        </is>
      </c>
      <c r="E4" t="n">
        <v>60</v>
      </c>
      <c r="F4" s="8" t="n">
        <v>2160</v>
      </c>
      <c r="H4" t="inlineStr">
        <is>
          <t>Dairy</t>
        </is>
      </c>
      <c r="I4">
        <f>SUMIFS($E$2:$E$19,$B$2:$B$19,H4)</f>
        <v/>
      </c>
      <c r="J4" s="8">
        <f>SUMIFS($F$2:$F$19,$B$2:$B$19,H4)</f>
        <v/>
      </c>
    </row>
    <row r="5">
      <c r="A5" t="inlineStr">
        <is>
          <t>Jan</t>
        </is>
      </c>
      <c r="B5" t="inlineStr">
        <is>
          <t>Dairy</t>
        </is>
      </c>
      <c r="C5" t="inlineStr">
        <is>
          <t>Coastal Co</t>
        </is>
      </c>
      <c r="D5" t="inlineStr">
        <is>
          <t>Cheddar Cheese 500g</t>
        </is>
      </c>
      <c r="E5" t="n">
        <v>45</v>
      </c>
      <c r="F5" s="8" t="n">
        <v>2205</v>
      </c>
      <c r="H5" t="inlineStr">
        <is>
          <t>Produce</t>
        </is>
      </c>
      <c r="I5">
        <f>SUMIFS($E$2:$E$19,$B$2:$B$19,H5)</f>
        <v/>
      </c>
      <c r="J5" s="8">
        <f>SUMIFS($F$2:$F$19,$B$2:$B$19,H5)</f>
        <v/>
      </c>
    </row>
    <row r="6">
      <c r="A6" t="inlineStr">
        <is>
          <t>Jan</t>
        </is>
      </c>
      <c r="B6" t="inlineStr">
        <is>
          <t>Produce</t>
        </is>
      </c>
      <c r="C6" t="inlineStr">
        <is>
          <t>GreenField</t>
        </is>
      </c>
      <c r="D6" t="inlineStr">
        <is>
          <t>Free-range Eggs 12pk</t>
        </is>
      </c>
      <c r="E6" t="n">
        <v>80</v>
      </c>
      <c r="F6" s="8" t="n">
        <v>1952</v>
      </c>
    </row>
    <row r="7">
      <c r="A7" t="inlineStr">
        <is>
          <t>Feb</t>
        </is>
      </c>
      <c r="B7" t="inlineStr">
        <is>
          <t>Snacks</t>
        </is>
      </c>
      <c r="C7" t="inlineStr">
        <is>
          <t>Acme Foods</t>
        </is>
      </c>
      <c r="D7" t="inlineStr">
        <is>
          <t>Stacked Chips 12pk 300g</t>
        </is>
      </c>
      <c r="E7" t="n">
        <v>140</v>
      </c>
      <c r="F7" s="8" t="n">
        <v>4060</v>
      </c>
    </row>
    <row r="8">
      <c r="A8" t="inlineStr">
        <is>
          <t>Feb</t>
        </is>
      </c>
      <c r="B8" t="inlineStr">
        <is>
          <t>Snacks</t>
        </is>
      </c>
      <c r="C8" t="inlineStr">
        <is>
          <t>Harvest Lane</t>
        </is>
      </c>
      <c r="D8" t="inlineStr">
        <is>
          <t>Rice Crackers 24pk 100g</t>
        </is>
      </c>
      <c r="E8" t="n">
        <v>70</v>
      </c>
      <c r="F8" s="8" t="n">
        <v>2625</v>
      </c>
    </row>
    <row r="9">
      <c r="A9" t="inlineStr">
        <is>
          <t>Feb</t>
        </is>
      </c>
      <c r="B9" t="inlineStr">
        <is>
          <t>Bakery</t>
        </is>
      </c>
      <c r="C9" t="inlineStr">
        <is>
          <t>BrightHarvest</t>
        </is>
      </c>
      <c r="D9" t="inlineStr">
        <is>
          <t>Sourdough Loaf 800g</t>
        </is>
      </c>
      <c r="E9" t="n">
        <v>75</v>
      </c>
      <c r="F9" s="8" t="n">
        <v>2700</v>
      </c>
    </row>
    <row r="10">
      <c r="A10" t="inlineStr">
        <is>
          <t>Feb</t>
        </is>
      </c>
      <c r="B10" t="inlineStr">
        <is>
          <t>Dairy</t>
        </is>
      </c>
      <c r="C10" t="inlineStr">
        <is>
          <t>Coastal Co</t>
        </is>
      </c>
      <c r="D10" t="inlineStr">
        <is>
          <t>Salted Butter 250g</t>
        </is>
      </c>
      <c r="E10" t="n">
        <v>55</v>
      </c>
      <c r="F10" s="8" t="n">
        <v>1749</v>
      </c>
    </row>
    <row r="11">
      <c r="A11" t="inlineStr">
        <is>
          <t>Feb</t>
        </is>
      </c>
      <c r="B11" t="inlineStr">
        <is>
          <t>Dairy</t>
        </is>
      </c>
      <c r="C11" t="inlineStr">
        <is>
          <t>Coastal Co</t>
        </is>
      </c>
      <c r="D11" t="inlineStr">
        <is>
          <t>Greek Yoghurt 1kg</t>
        </is>
      </c>
      <c r="E11" t="n">
        <v>65</v>
      </c>
      <c r="F11" s="8" t="n">
        <v>1248</v>
      </c>
    </row>
    <row r="12">
      <c r="A12" t="inlineStr">
        <is>
          <t>Feb</t>
        </is>
      </c>
      <c r="B12" t="inlineStr">
        <is>
          <t>Produce</t>
        </is>
      </c>
      <c r="C12" t="inlineStr">
        <is>
          <t>GreenField</t>
        </is>
      </c>
      <c r="D12" t="inlineStr">
        <is>
          <t>Free-range Eggs 12pk</t>
        </is>
      </c>
      <c r="E12" t="n">
        <v>95</v>
      </c>
      <c r="F12" s="8" t="n">
        <v>2318</v>
      </c>
    </row>
    <row r="13">
      <c r="A13" t="inlineStr">
        <is>
          <t>Mar</t>
        </is>
      </c>
      <c r="B13" t="inlineStr">
        <is>
          <t>Snacks</t>
        </is>
      </c>
      <c r="C13" t="inlineStr">
        <is>
          <t>Acme Foods</t>
        </is>
      </c>
      <c r="D13" t="inlineStr">
        <is>
          <t>Corn Puffs 12pk 150g</t>
        </is>
      </c>
      <c r="E13" t="n">
        <v>110</v>
      </c>
      <c r="F13" s="8" t="n">
        <v>2728</v>
      </c>
    </row>
    <row r="14">
      <c r="A14" t="inlineStr">
        <is>
          <t>Mar</t>
        </is>
      </c>
      <c r="B14" t="inlineStr">
        <is>
          <t>Snacks</t>
        </is>
      </c>
      <c r="C14" t="inlineStr">
        <is>
          <t>Harvest Lane</t>
        </is>
      </c>
      <c r="D14" t="inlineStr">
        <is>
          <t>Popcorn 10pk 100g</t>
        </is>
      </c>
      <c r="E14" t="n">
        <v>130</v>
      </c>
      <c r="F14" s="8" t="n">
        <v>2210</v>
      </c>
    </row>
    <row r="15">
      <c r="A15" t="inlineStr">
        <is>
          <t>Mar</t>
        </is>
      </c>
      <c r="B15" t="inlineStr">
        <is>
          <t>Bakery</t>
        </is>
      </c>
      <c r="C15" t="inlineStr">
        <is>
          <t>BrightHarvest</t>
        </is>
      </c>
      <c r="D15" t="inlineStr">
        <is>
          <t>Sourdough Loaf 800g</t>
        </is>
      </c>
      <c r="E15" t="n">
        <v>85</v>
      </c>
      <c r="F15" s="8" t="n">
        <v>3060</v>
      </c>
    </row>
    <row r="16">
      <c r="A16" t="inlineStr">
        <is>
          <t>Mar</t>
        </is>
      </c>
      <c r="B16" t="inlineStr">
        <is>
          <t>Dairy</t>
        </is>
      </c>
      <c r="C16" t="inlineStr">
        <is>
          <t>Coastal Co</t>
        </is>
      </c>
      <c r="D16" t="inlineStr">
        <is>
          <t>Cheddar Cheese 500g</t>
        </is>
      </c>
      <c r="E16" t="n">
        <v>50</v>
      </c>
      <c r="F16" s="8" t="n">
        <v>2450</v>
      </c>
    </row>
    <row r="17">
      <c r="A17" t="inlineStr">
        <is>
          <t>Mar</t>
        </is>
      </c>
      <c r="B17" t="inlineStr">
        <is>
          <t>Produce</t>
        </is>
      </c>
      <c r="C17" t="inlineStr">
        <is>
          <t>GreenField</t>
        </is>
      </c>
      <c r="D17" t="inlineStr">
        <is>
          <t>Basmati Rice 5kg</t>
        </is>
      </c>
      <c r="E17" t="n">
        <v>40</v>
      </c>
      <c r="F17" s="8" t="n">
        <v>1056</v>
      </c>
    </row>
    <row r="18">
      <c r="A18" t="inlineStr">
        <is>
          <t>Mar</t>
        </is>
      </c>
      <c r="B18" t="inlineStr">
        <is>
          <t>Produce</t>
        </is>
      </c>
      <c r="C18" t="inlineStr">
        <is>
          <t>GreenField</t>
        </is>
      </c>
      <c r="D18" t="inlineStr">
        <is>
          <t>Orange Juice 2L</t>
        </is>
      </c>
      <c r="E18" t="n">
        <v>100</v>
      </c>
      <c r="F18" s="8" t="n">
        <v>1920</v>
      </c>
    </row>
    <row r="19">
      <c r="A19" t="inlineStr">
        <is>
          <t>Mar</t>
        </is>
      </c>
      <c r="B19" t="inlineStr">
        <is>
          <t>Snacks</t>
        </is>
      </c>
      <c r="C19" t="inlineStr">
        <is>
          <t>Harvest Lane</t>
        </is>
      </c>
      <c r="D19" t="inlineStr">
        <is>
          <t>Pretzel Bites 20pk 220g</t>
        </is>
      </c>
      <c r="E19" t="n">
        <v>60</v>
      </c>
      <c r="F19" s="8" t="n">
        <v>1836</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 width="15" customWidth="1" min="3" max="3"/>
    <col width="26" customWidth="1" min="6" max="6"/>
    <col width="15" customWidth="1" min="7" max="7"/>
    <col width="15" customWidth="1" min="8" max="8"/>
  </cols>
  <sheetData>
    <row r="1">
      <c r="A1" s="3" t="inlineStr">
        <is>
          <t>Product</t>
        </is>
      </c>
      <c r="B1" s="3" t="inlineStr">
        <is>
          <t>Supplier</t>
        </is>
      </c>
      <c r="C1" s="3" t="inlineStr">
        <is>
          <t>Case cost (GBP)</t>
        </is>
      </c>
      <c r="F1" s="3" t="inlineStr">
        <is>
          <t>Order product</t>
        </is>
      </c>
      <c r="G1" s="3" t="inlineStr">
        <is>
          <t>Supplier</t>
        </is>
      </c>
      <c r="H1" s="3" t="inlineStr">
        <is>
          <t>Case cost (GBP)</t>
        </is>
      </c>
    </row>
    <row r="2">
      <c r="A2" t="inlineStr">
        <is>
          <t>Stacked Chips 12pk 300g</t>
        </is>
      </c>
      <c r="B2" t="inlineStr">
        <is>
          <t>Acme Foods</t>
        </is>
      </c>
      <c r="C2" s="5" t="n">
        <v>14.5</v>
      </c>
      <c r="F2" t="inlineStr">
        <is>
          <t>Cheddar Cheese 500g</t>
        </is>
      </c>
    </row>
    <row r="3">
      <c r="A3" t="inlineStr">
        <is>
          <t>Corn Puffs 12pk 150g</t>
        </is>
      </c>
      <c r="B3" t="inlineStr">
        <is>
          <t>Acme Foods</t>
        </is>
      </c>
      <c r="C3" s="5" t="n">
        <v>12.4</v>
      </c>
      <c r="F3" t="inlineStr">
        <is>
          <t>Popcorn 10pk 100g</t>
        </is>
      </c>
    </row>
    <row r="4">
      <c r="A4" t="inlineStr">
        <is>
          <t>Rice Crackers 24pk 100g</t>
        </is>
      </c>
      <c r="B4" t="inlineStr">
        <is>
          <t>Harvest Lane</t>
        </is>
      </c>
      <c r="C4" s="5" t="n">
        <v>18.75</v>
      </c>
      <c r="F4" t="inlineStr">
        <is>
          <t>Sourdough Loaf 800g</t>
        </is>
      </c>
    </row>
    <row r="5">
      <c r="A5" t="inlineStr">
        <is>
          <t>Popcorn 10pk 100g</t>
        </is>
      </c>
      <c r="B5" t="inlineStr">
        <is>
          <t>Harvest Lane</t>
        </is>
      </c>
      <c r="C5" s="5" t="n">
        <v>8.5</v>
      </c>
      <c r="F5" t="inlineStr">
        <is>
          <t>Free-range Eggs 12pk</t>
        </is>
      </c>
    </row>
    <row r="6">
      <c r="A6" t="inlineStr">
        <is>
          <t>Pretzel Bites 20pk 220g</t>
        </is>
      </c>
      <c r="B6" t="inlineStr">
        <is>
          <t>Harvest Lane</t>
        </is>
      </c>
      <c r="C6" s="5" t="n">
        <v>15.3</v>
      </c>
      <c r="F6" t="inlineStr">
        <is>
          <t>Rice Crackers 24pk 100g</t>
        </is>
      </c>
    </row>
    <row r="7">
      <c r="A7" t="inlineStr">
        <is>
          <t>Sourdough Loaf 800g</t>
        </is>
      </c>
      <c r="B7" t="inlineStr">
        <is>
          <t>BrightHarvest</t>
        </is>
      </c>
      <c r="C7" s="5" t="n">
        <v>18.75</v>
      </c>
    </row>
    <row r="8">
      <c r="A8" t="inlineStr">
        <is>
          <t>Cheddar Cheese 500g</t>
        </is>
      </c>
      <c r="B8" t="inlineStr">
        <is>
          <t>Coastal Co</t>
        </is>
      </c>
      <c r="C8" s="5" t="n">
        <v>24.5</v>
      </c>
      <c r="F8" s="6" t="inlineStr">
        <is>
          <t>Your task</t>
        </is>
      </c>
    </row>
    <row r="9">
      <c r="A9" t="inlineStr">
        <is>
          <t>Salted Butter 250g</t>
        </is>
      </c>
      <c r="B9" t="inlineStr">
        <is>
          <t>Coastal Co</t>
        </is>
      </c>
      <c r="C9" s="5" t="n">
        <v>15.9</v>
      </c>
      <c r="F9" s="7" t="inlineStr">
        <is>
          <t>In G2 find the supplier with  =XLOOKUP(F2,$A$2:$A$11,$B$2:$B$11)  and in H2 the case cost with  =XLOOKUP(F2,$A$2:$A$11,$C$2:$C$11) . Fill down. XLOOKUP returns #N/A cleanly when a product is missing — add a 4th argument like "not found" to handle that.</t>
        </is>
      </c>
    </row>
    <row r="10">
      <c r="A10" t="inlineStr">
        <is>
          <t>Greek Yoghurt 1kg</t>
        </is>
      </c>
      <c r="B10" t="inlineStr">
        <is>
          <t>Coastal Co</t>
        </is>
      </c>
      <c r="C10" s="5" t="n">
        <v>6.4</v>
      </c>
    </row>
    <row r="11">
      <c r="A11" t="inlineStr">
        <is>
          <t>Free-range Eggs 12pk</t>
        </is>
      </c>
      <c r="B11" t="inlineStr">
        <is>
          <t>GreenField</t>
        </is>
      </c>
      <c r="C11" s="5" t="n">
        <v>12.2</v>
      </c>
    </row>
    <row r="12"/>
    <row r="13"/>
  </sheetData>
  <mergeCells count="1">
    <mergeCell ref="F9:H1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 width="15" customWidth="1" min="3" max="3"/>
    <col width="26" customWidth="1" min="6" max="6"/>
    <col width="15" customWidth="1" min="7" max="7"/>
    <col width="15" customWidth="1" min="8" max="8"/>
  </cols>
  <sheetData>
    <row r="1">
      <c r="A1" s="3" t="inlineStr">
        <is>
          <t>Product</t>
        </is>
      </c>
      <c r="B1" s="3" t="inlineStr">
        <is>
          <t>Supplier</t>
        </is>
      </c>
      <c r="C1" s="3" t="inlineStr">
        <is>
          <t>Case cost (GBP)</t>
        </is>
      </c>
      <c r="F1" s="3" t="inlineStr">
        <is>
          <t>Order product</t>
        </is>
      </c>
      <c r="G1" s="3" t="inlineStr">
        <is>
          <t>Supplier</t>
        </is>
      </c>
      <c r="H1" s="3" t="inlineStr">
        <is>
          <t>Case cost (GBP)</t>
        </is>
      </c>
    </row>
    <row r="2">
      <c r="A2" t="inlineStr">
        <is>
          <t>Stacked Chips 12pk 300g</t>
        </is>
      </c>
      <c r="B2" t="inlineStr">
        <is>
          <t>Acme Foods</t>
        </is>
      </c>
      <c r="C2" s="5" t="n">
        <v>14.5</v>
      </c>
      <c r="F2" t="inlineStr">
        <is>
          <t>Cheddar Cheese 500g</t>
        </is>
      </c>
      <c r="G2">
        <f>XLOOKUP(F2,$A$2:$A$11,$B$2:$B$11)</f>
        <v/>
      </c>
      <c r="H2" s="5">
        <f>XLOOKUP(F2,$A$2:$A$11,$C$2:$C$11)</f>
        <v/>
      </c>
    </row>
    <row r="3">
      <c r="A3" t="inlineStr">
        <is>
          <t>Corn Puffs 12pk 150g</t>
        </is>
      </c>
      <c r="B3" t="inlineStr">
        <is>
          <t>Acme Foods</t>
        </is>
      </c>
      <c r="C3" s="5" t="n">
        <v>12.4</v>
      </c>
      <c r="F3" t="inlineStr">
        <is>
          <t>Popcorn 10pk 100g</t>
        </is>
      </c>
      <c r="G3">
        <f>XLOOKUP(F3,$A$2:$A$11,$B$2:$B$11)</f>
        <v/>
      </c>
      <c r="H3" s="5">
        <f>XLOOKUP(F3,$A$2:$A$11,$C$2:$C$11)</f>
        <v/>
      </c>
    </row>
    <row r="4">
      <c r="A4" t="inlineStr">
        <is>
          <t>Rice Crackers 24pk 100g</t>
        </is>
      </c>
      <c r="B4" t="inlineStr">
        <is>
          <t>Harvest Lane</t>
        </is>
      </c>
      <c r="C4" s="5" t="n">
        <v>18.75</v>
      </c>
      <c r="F4" t="inlineStr">
        <is>
          <t>Sourdough Loaf 800g</t>
        </is>
      </c>
      <c r="G4">
        <f>XLOOKUP(F4,$A$2:$A$11,$B$2:$B$11)</f>
        <v/>
      </c>
      <c r="H4" s="5">
        <f>XLOOKUP(F4,$A$2:$A$11,$C$2:$C$11)</f>
        <v/>
      </c>
    </row>
    <row r="5">
      <c r="A5" t="inlineStr">
        <is>
          <t>Popcorn 10pk 100g</t>
        </is>
      </c>
      <c r="B5" t="inlineStr">
        <is>
          <t>Harvest Lane</t>
        </is>
      </c>
      <c r="C5" s="5" t="n">
        <v>8.5</v>
      </c>
      <c r="F5" t="inlineStr">
        <is>
          <t>Free-range Eggs 12pk</t>
        </is>
      </c>
      <c r="G5">
        <f>XLOOKUP(F5,$A$2:$A$11,$B$2:$B$11)</f>
        <v/>
      </c>
      <c r="H5" s="5">
        <f>XLOOKUP(F5,$A$2:$A$11,$C$2:$C$11)</f>
        <v/>
      </c>
    </row>
    <row r="6">
      <c r="A6" t="inlineStr">
        <is>
          <t>Pretzel Bites 20pk 220g</t>
        </is>
      </c>
      <c r="B6" t="inlineStr">
        <is>
          <t>Harvest Lane</t>
        </is>
      </c>
      <c r="C6" s="5" t="n">
        <v>15.3</v>
      </c>
      <c r="F6" t="inlineStr">
        <is>
          <t>Rice Crackers 24pk 100g</t>
        </is>
      </c>
      <c r="G6">
        <f>XLOOKUP(F6,$A$2:$A$11,$B$2:$B$11)</f>
        <v/>
      </c>
      <c r="H6" s="5">
        <f>XLOOKUP(F6,$A$2:$A$11,$C$2:$C$11)</f>
        <v/>
      </c>
    </row>
    <row r="7">
      <c r="A7" t="inlineStr">
        <is>
          <t>Sourdough Loaf 800g</t>
        </is>
      </c>
      <c r="B7" t="inlineStr">
        <is>
          <t>BrightHarvest</t>
        </is>
      </c>
      <c r="C7" s="5" t="n">
        <v>18.75</v>
      </c>
    </row>
    <row r="8">
      <c r="A8" t="inlineStr">
        <is>
          <t>Cheddar Cheese 500g</t>
        </is>
      </c>
      <c r="B8" t="inlineStr">
        <is>
          <t>Coastal Co</t>
        </is>
      </c>
      <c r="C8" s="5" t="n">
        <v>24.5</v>
      </c>
    </row>
    <row r="9">
      <c r="A9" t="inlineStr">
        <is>
          <t>Salted Butter 250g</t>
        </is>
      </c>
      <c r="B9" t="inlineStr">
        <is>
          <t>Coastal Co</t>
        </is>
      </c>
      <c r="C9" s="5" t="n">
        <v>15.9</v>
      </c>
    </row>
    <row r="10">
      <c r="A10" t="inlineStr">
        <is>
          <t>Greek Yoghurt 1kg</t>
        </is>
      </c>
      <c r="B10" t="inlineStr">
        <is>
          <t>Coastal Co</t>
        </is>
      </c>
      <c r="C10" s="5" t="n">
        <v>6.4</v>
      </c>
    </row>
    <row r="11">
      <c r="A11" t="inlineStr">
        <is>
          <t>Free-range Eggs 12pk</t>
        </is>
      </c>
      <c r="B11" t="inlineStr">
        <is>
          <t>GreenField</t>
        </is>
      </c>
      <c r="C11" s="5" t="n">
        <v>12.2</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1" customWidth="1" min="3" max="3"/>
    <col width="14" customWidth="1" min="4" max="4"/>
    <col width="8" customWidth="1" min="5" max="5"/>
    <col width="14" customWidth="1" min="6" max="6"/>
    <col width="11" customWidth="1" min="7" max="7"/>
    <col width="12" customWidth="1" min="9" max="9"/>
    <col width="12" customWidth="1" min="10" max="10"/>
    <col width="12" customWidth="1" min="11" max="11"/>
    <col width="12" customWidth="1" min="12" max="12"/>
    <col width="12" customWidth="1" min="13" max="13"/>
  </cols>
  <sheetData>
    <row r="1">
      <c r="A1" s="3" t="inlineStr">
        <is>
          <t>Product</t>
        </is>
      </c>
      <c r="B1" s="3" t="inlineStr">
        <is>
          <t>Order date</t>
        </is>
      </c>
      <c r="C1" s="3" t="inlineStr">
        <is>
          <t>Lead days</t>
        </is>
      </c>
      <c r="D1" s="3" t="inlineStr">
        <is>
          <t>Due date</t>
        </is>
      </c>
      <c r="E1" s="3" t="inlineStr">
        <is>
          <t>Month</t>
        </is>
      </c>
      <c r="F1" s="3" t="inlineStr">
        <is>
          <t>Month end</t>
        </is>
      </c>
      <c r="G1" s="3" t="inlineStr">
        <is>
          <t>Age (days)</t>
        </is>
      </c>
      <c r="I1" s="6" t="inlineStr">
        <is>
          <t>Your task</t>
        </is>
      </c>
    </row>
    <row r="2">
      <c r="A2" t="inlineStr">
        <is>
          <t>Stacked Chips 12pk 300g</t>
        </is>
      </c>
      <c r="B2" s="10" t="n">
        <v>46028</v>
      </c>
      <c r="C2" t="n">
        <v>14</v>
      </c>
      <c r="I2" s="7" t="inlineStr">
        <is>
          <t>In D2 type  =B2+C2  for the due date, in E2 type  =TEXT(B2,"mmm")  for the month label, in F2 type  =EOMONTH(B2,0)  for the month-end, and in G2 type  =TODAY()-B2  for the age in days. Fill down. If a due date shows as a number, format the column as a date.</t>
        </is>
      </c>
    </row>
    <row r="3">
      <c r="A3" t="inlineStr">
        <is>
          <t>Corn Puffs 12pk 150g</t>
        </is>
      </c>
      <c r="B3" s="10" t="n">
        <v>46035</v>
      </c>
      <c r="C3" t="n">
        <v>10</v>
      </c>
    </row>
    <row r="4">
      <c r="A4" t="inlineStr">
        <is>
          <t>Rice Crackers 24pk 100g</t>
        </is>
      </c>
      <c r="B4" s="10" t="n">
        <v>46042</v>
      </c>
      <c r="C4" t="n">
        <v>21</v>
      </c>
    </row>
    <row r="5">
      <c r="A5" t="inlineStr">
        <is>
          <t>Popcorn 10pk 100g</t>
        </is>
      </c>
      <c r="B5" s="10" t="n">
        <v>46056</v>
      </c>
      <c r="C5" t="n">
        <v>7</v>
      </c>
    </row>
    <row r="6">
      <c r="A6" t="inlineStr">
        <is>
          <t>Sourdough Loaf 800g</t>
        </is>
      </c>
      <c r="B6" s="10" t="n">
        <v>46063</v>
      </c>
      <c r="C6" t="n">
        <v>3</v>
      </c>
    </row>
    <row r="7">
      <c r="A7" t="inlineStr">
        <is>
          <t>Cheddar Cheese 500g</t>
        </is>
      </c>
      <c r="B7" s="10" t="n">
        <v>46077</v>
      </c>
      <c r="C7" t="n">
        <v>14</v>
      </c>
    </row>
    <row r="8">
      <c r="A8" t="inlineStr">
        <is>
          <t>Salted Butter 250g</t>
        </is>
      </c>
      <c r="B8" s="10" t="n">
        <v>46084</v>
      </c>
      <c r="C8" t="n">
        <v>10</v>
      </c>
    </row>
    <row r="9">
      <c r="A9" t="inlineStr">
        <is>
          <t>Greek Yoghurt 1kg</t>
        </is>
      </c>
      <c r="B9" s="10" t="n">
        <v>46098</v>
      </c>
      <c r="C9" t="n">
        <v>5</v>
      </c>
    </row>
    <row r="10">
      <c r="A10" t="inlineStr">
        <is>
          <t>Free-range Eggs 12pk</t>
        </is>
      </c>
      <c r="B10" s="10" t="n">
        <v>46105</v>
      </c>
      <c r="C10" t="n">
        <v>2</v>
      </c>
    </row>
    <row r="11">
      <c r="A11" t="inlineStr">
        <is>
          <t>Basmati Rice 5kg</t>
        </is>
      </c>
      <c r="B11" s="10" t="n">
        <v>46119</v>
      </c>
      <c r="C11" t="n">
        <v>28</v>
      </c>
    </row>
  </sheetData>
  <mergeCells count="1">
    <mergeCell ref="I2:M6"/>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1" customWidth="1" min="3" max="3"/>
    <col width="14" customWidth="1" min="4" max="4"/>
    <col width="8" customWidth="1" min="5" max="5"/>
    <col width="14" customWidth="1" min="6" max="6"/>
    <col width="11" customWidth="1" min="7" max="7"/>
  </cols>
  <sheetData>
    <row r="1">
      <c r="A1" s="3" t="inlineStr">
        <is>
          <t>Product</t>
        </is>
      </c>
      <c r="B1" s="3" t="inlineStr">
        <is>
          <t>Order date</t>
        </is>
      </c>
      <c r="C1" s="3" t="inlineStr">
        <is>
          <t>Lead days</t>
        </is>
      </c>
      <c r="D1" s="3" t="inlineStr">
        <is>
          <t>Due date</t>
        </is>
      </c>
      <c r="E1" s="3" t="inlineStr">
        <is>
          <t>Month</t>
        </is>
      </c>
      <c r="F1" s="3" t="inlineStr">
        <is>
          <t>Month end</t>
        </is>
      </c>
      <c r="G1" s="3" t="inlineStr">
        <is>
          <t>Age (days)</t>
        </is>
      </c>
    </row>
    <row r="2">
      <c r="A2" t="inlineStr">
        <is>
          <t>Stacked Chips 12pk 300g</t>
        </is>
      </c>
      <c r="B2" s="10" t="n">
        <v>46028</v>
      </c>
      <c r="C2" t="n">
        <v>14</v>
      </c>
      <c r="D2" s="10">
        <f>B2+C2</f>
        <v/>
      </c>
      <c r="E2">
        <f>TEXT(B2,"mmm")</f>
        <v/>
      </c>
      <c r="F2" s="10">
        <f>EOMONTH(B2,0)</f>
        <v/>
      </c>
      <c r="G2" s="9">
        <f>TODAY()-B2</f>
        <v/>
      </c>
    </row>
    <row r="3">
      <c r="A3" t="inlineStr">
        <is>
          <t>Corn Puffs 12pk 150g</t>
        </is>
      </c>
      <c r="B3" s="10" t="n">
        <v>46035</v>
      </c>
      <c r="C3" t="n">
        <v>10</v>
      </c>
      <c r="D3" s="10">
        <f>B3+C3</f>
        <v/>
      </c>
      <c r="E3">
        <f>TEXT(B3,"mmm")</f>
        <v/>
      </c>
      <c r="F3" s="10">
        <f>EOMONTH(B3,0)</f>
        <v/>
      </c>
      <c r="G3" s="9">
        <f>TODAY()-B3</f>
        <v/>
      </c>
    </row>
    <row r="4">
      <c r="A4" t="inlineStr">
        <is>
          <t>Rice Crackers 24pk 100g</t>
        </is>
      </c>
      <c r="B4" s="10" t="n">
        <v>46042</v>
      </c>
      <c r="C4" t="n">
        <v>21</v>
      </c>
      <c r="D4" s="10">
        <f>B4+C4</f>
        <v/>
      </c>
      <c r="E4">
        <f>TEXT(B4,"mmm")</f>
        <v/>
      </c>
      <c r="F4" s="10">
        <f>EOMONTH(B4,0)</f>
        <v/>
      </c>
      <c r="G4" s="9">
        <f>TODAY()-B4</f>
        <v/>
      </c>
    </row>
    <row r="5">
      <c r="A5" t="inlineStr">
        <is>
          <t>Popcorn 10pk 100g</t>
        </is>
      </c>
      <c r="B5" s="10" t="n">
        <v>46056</v>
      </c>
      <c r="C5" t="n">
        <v>7</v>
      </c>
      <c r="D5" s="10">
        <f>B5+C5</f>
        <v/>
      </c>
      <c r="E5">
        <f>TEXT(B5,"mmm")</f>
        <v/>
      </c>
      <c r="F5" s="10">
        <f>EOMONTH(B5,0)</f>
        <v/>
      </c>
      <c r="G5" s="9">
        <f>TODAY()-B5</f>
        <v/>
      </c>
    </row>
    <row r="6">
      <c r="A6" t="inlineStr">
        <is>
          <t>Sourdough Loaf 800g</t>
        </is>
      </c>
      <c r="B6" s="10" t="n">
        <v>46063</v>
      </c>
      <c r="C6" t="n">
        <v>3</v>
      </c>
      <c r="D6" s="10">
        <f>B6+C6</f>
        <v/>
      </c>
      <c r="E6">
        <f>TEXT(B6,"mmm")</f>
        <v/>
      </c>
      <c r="F6" s="10">
        <f>EOMONTH(B6,0)</f>
        <v/>
      </c>
      <c r="G6" s="9">
        <f>TODAY()-B6</f>
        <v/>
      </c>
    </row>
    <row r="7">
      <c r="A7" t="inlineStr">
        <is>
          <t>Cheddar Cheese 500g</t>
        </is>
      </c>
      <c r="B7" s="10" t="n">
        <v>46077</v>
      </c>
      <c r="C7" t="n">
        <v>14</v>
      </c>
      <c r="D7" s="10">
        <f>B7+C7</f>
        <v/>
      </c>
      <c r="E7">
        <f>TEXT(B7,"mmm")</f>
        <v/>
      </c>
      <c r="F7" s="10">
        <f>EOMONTH(B7,0)</f>
        <v/>
      </c>
      <c r="G7" s="9">
        <f>TODAY()-B7</f>
        <v/>
      </c>
    </row>
    <row r="8">
      <c r="A8" t="inlineStr">
        <is>
          <t>Salted Butter 250g</t>
        </is>
      </c>
      <c r="B8" s="10" t="n">
        <v>46084</v>
      </c>
      <c r="C8" t="n">
        <v>10</v>
      </c>
      <c r="D8" s="10">
        <f>B8+C8</f>
        <v/>
      </c>
      <c r="E8">
        <f>TEXT(B8,"mmm")</f>
        <v/>
      </c>
      <c r="F8" s="10">
        <f>EOMONTH(B8,0)</f>
        <v/>
      </c>
      <c r="G8" s="9">
        <f>TODAY()-B8</f>
        <v/>
      </c>
    </row>
    <row r="9">
      <c r="A9" t="inlineStr">
        <is>
          <t>Greek Yoghurt 1kg</t>
        </is>
      </c>
      <c r="B9" s="10" t="n">
        <v>46098</v>
      </c>
      <c r="C9" t="n">
        <v>5</v>
      </c>
      <c r="D9" s="10">
        <f>B9+C9</f>
        <v/>
      </c>
      <c r="E9">
        <f>TEXT(B9,"mmm")</f>
        <v/>
      </c>
      <c r="F9" s="10">
        <f>EOMONTH(B9,0)</f>
        <v/>
      </c>
      <c r="G9" s="9">
        <f>TODAY()-B9</f>
        <v/>
      </c>
    </row>
    <row r="10">
      <c r="A10" t="inlineStr">
        <is>
          <t>Free-range Eggs 12pk</t>
        </is>
      </c>
      <c r="B10" s="10" t="n">
        <v>46105</v>
      </c>
      <c r="C10" t="n">
        <v>2</v>
      </c>
      <c r="D10" s="10">
        <f>B10+C10</f>
        <v/>
      </c>
      <c r="E10">
        <f>TEXT(B10,"mmm")</f>
        <v/>
      </c>
      <c r="F10" s="10">
        <f>EOMONTH(B10,0)</f>
        <v/>
      </c>
      <c r="G10" s="9">
        <f>TODAY()-B10</f>
        <v/>
      </c>
    </row>
    <row r="11">
      <c r="A11" t="inlineStr">
        <is>
          <t>Basmati Rice 5kg</t>
        </is>
      </c>
      <c r="B11" s="10" t="n">
        <v>46119</v>
      </c>
      <c r="C11" t="n">
        <v>28</v>
      </c>
      <c r="D11" s="10">
        <f>B11+C11</f>
        <v/>
      </c>
      <c r="E11">
        <f>TEXT(B11,"mmm")</f>
        <v/>
      </c>
      <c r="F11" s="10">
        <f>EOMONTH(B11,0)</f>
        <v/>
      </c>
      <c r="G11" s="9">
        <f>TODAY()-B11</f>
        <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26" customWidth="1" min="4" max="4"/>
    <col width="9" customWidth="1" min="5" max="5"/>
    <col width="15" customWidth="1" min="6" max="6"/>
    <col width="16" customWidth="1" min="8" max="8"/>
    <col width="12" customWidth="1" min="9" max="9"/>
    <col width="12" customWidth="1" min="10" max="10"/>
    <col width="12" customWidth="1" min="11" max="11"/>
    <col width="12" customWidth="1" min="12" max="12"/>
  </cols>
  <sheetData>
    <row r="1">
      <c r="A1" s="3" t="inlineStr">
        <is>
          <t>Month</t>
        </is>
      </c>
      <c r="B1" s="3" t="inlineStr">
        <is>
          <t>Category</t>
        </is>
      </c>
      <c r="C1" s="3" t="inlineStr">
        <is>
          <t>Supplier</t>
        </is>
      </c>
      <c r="D1" s="3" t="inlineStr">
        <is>
          <t>Product</t>
        </is>
      </c>
      <c r="E1" s="3" t="inlineStr">
        <is>
          <t>Cases</t>
        </is>
      </c>
      <c r="F1" s="3" t="inlineStr">
        <is>
          <t>Revenue (AUD)</t>
        </is>
      </c>
      <c r="H1" s="6" t="inlineStr">
        <is>
          <t>Your task</t>
        </is>
      </c>
    </row>
    <row r="2">
      <c r="A2" t="inlineStr">
        <is>
          <t>Jan</t>
        </is>
      </c>
      <c r="B2" t="inlineStr">
        <is>
          <t>Snacks</t>
        </is>
      </c>
      <c r="C2" t="inlineStr">
        <is>
          <t>Acme Foods</t>
        </is>
      </c>
      <c r="D2" t="inlineStr">
        <is>
          <t>Stacked Chips 12pk 300g</t>
        </is>
      </c>
      <c r="E2" t="n">
        <v>120</v>
      </c>
      <c r="F2" s="8" t="n">
        <v>3480</v>
      </c>
      <c r="H2" s="7" t="inlineStr">
        <is>
          <t>Click the data, then Insert &gt; PivotTable. Drag Category to Rows and Cases + Revenue (AUD) to Values to total by category. Then add Supplier under Category in Rows for a breakdown.</t>
        </is>
      </c>
    </row>
    <row r="3">
      <c r="A3" t="inlineStr">
        <is>
          <t>Jan</t>
        </is>
      </c>
      <c r="B3" t="inlineStr">
        <is>
          <t>Snacks</t>
        </is>
      </c>
      <c r="C3" t="inlineStr">
        <is>
          <t>Acme Foods</t>
        </is>
      </c>
      <c r="D3" t="inlineStr">
        <is>
          <t>Corn Puffs 12pk 150g</t>
        </is>
      </c>
      <c r="E3" t="n">
        <v>90</v>
      </c>
      <c r="F3" s="8" t="n">
        <v>2232</v>
      </c>
    </row>
    <row r="4">
      <c r="A4" t="inlineStr">
        <is>
          <t>Jan</t>
        </is>
      </c>
      <c r="B4" t="inlineStr">
        <is>
          <t>Bakery</t>
        </is>
      </c>
      <c r="C4" t="inlineStr">
        <is>
          <t>BrightHarvest</t>
        </is>
      </c>
      <c r="D4" t="inlineStr">
        <is>
          <t>Sourdough Loaf 800g</t>
        </is>
      </c>
      <c r="E4" t="n">
        <v>60</v>
      </c>
      <c r="F4" s="8" t="n">
        <v>2160</v>
      </c>
    </row>
    <row r="5">
      <c r="A5" t="inlineStr">
        <is>
          <t>Jan</t>
        </is>
      </c>
      <c r="B5" t="inlineStr">
        <is>
          <t>Dairy</t>
        </is>
      </c>
      <c r="C5" t="inlineStr">
        <is>
          <t>Coastal Co</t>
        </is>
      </c>
      <c r="D5" t="inlineStr">
        <is>
          <t>Cheddar Cheese 500g</t>
        </is>
      </c>
      <c r="E5" t="n">
        <v>45</v>
      </c>
      <c r="F5" s="8" t="n">
        <v>2205</v>
      </c>
    </row>
    <row r="6">
      <c r="A6" t="inlineStr">
        <is>
          <t>Jan</t>
        </is>
      </c>
      <c r="B6" t="inlineStr">
        <is>
          <t>Produce</t>
        </is>
      </c>
      <c r="C6" t="inlineStr">
        <is>
          <t>GreenField</t>
        </is>
      </c>
      <c r="D6" t="inlineStr">
        <is>
          <t>Free-range Eggs 12pk</t>
        </is>
      </c>
      <c r="E6" t="n">
        <v>80</v>
      </c>
      <c r="F6" s="8" t="n">
        <v>1952</v>
      </c>
    </row>
    <row r="7">
      <c r="A7" t="inlineStr">
        <is>
          <t>Feb</t>
        </is>
      </c>
      <c r="B7" t="inlineStr">
        <is>
          <t>Snacks</t>
        </is>
      </c>
      <c r="C7" t="inlineStr">
        <is>
          <t>Acme Foods</t>
        </is>
      </c>
      <c r="D7" t="inlineStr">
        <is>
          <t>Stacked Chips 12pk 300g</t>
        </is>
      </c>
      <c r="E7" t="n">
        <v>140</v>
      </c>
      <c r="F7" s="8" t="n">
        <v>4060</v>
      </c>
    </row>
    <row r="8">
      <c r="A8" t="inlineStr">
        <is>
          <t>Feb</t>
        </is>
      </c>
      <c r="B8" t="inlineStr">
        <is>
          <t>Snacks</t>
        </is>
      </c>
      <c r="C8" t="inlineStr">
        <is>
          <t>Harvest Lane</t>
        </is>
      </c>
      <c r="D8" t="inlineStr">
        <is>
          <t>Rice Crackers 24pk 100g</t>
        </is>
      </c>
      <c r="E8" t="n">
        <v>70</v>
      </c>
      <c r="F8" s="8" t="n">
        <v>2625</v>
      </c>
    </row>
    <row r="9">
      <c r="A9" t="inlineStr">
        <is>
          <t>Feb</t>
        </is>
      </c>
      <c r="B9" t="inlineStr">
        <is>
          <t>Bakery</t>
        </is>
      </c>
      <c r="C9" t="inlineStr">
        <is>
          <t>BrightHarvest</t>
        </is>
      </c>
      <c r="D9" t="inlineStr">
        <is>
          <t>Sourdough Loaf 800g</t>
        </is>
      </c>
      <c r="E9" t="n">
        <v>75</v>
      </c>
      <c r="F9" s="8" t="n">
        <v>2700</v>
      </c>
    </row>
    <row r="10">
      <c r="A10" t="inlineStr">
        <is>
          <t>Feb</t>
        </is>
      </c>
      <c r="B10" t="inlineStr">
        <is>
          <t>Dairy</t>
        </is>
      </c>
      <c r="C10" t="inlineStr">
        <is>
          <t>Coastal Co</t>
        </is>
      </c>
      <c r="D10" t="inlineStr">
        <is>
          <t>Salted Butter 250g</t>
        </is>
      </c>
      <c r="E10" t="n">
        <v>55</v>
      </c>
      <c r="F10" s="8" t="n">
        <v>1749</v>
      </c>
    </row>
    <row r="11">
      <c r="A11" t="inlineStr">
        <is>
          <t>Feb</t>
        </is>
      </c>
      <c r="B11" t="inlineStr">
        <is>
          <t>Dairy</t>
        </is>
      </c>
      <c r="C11" t="inlineStr">
        <is>
          <t>Coastal Co</t>
        </is>
      </c>
      <c r="D11" t="inlineStr">
        <is>
          <t>Greek Yoghurt 1kg</t>
        </is>
      </c>
      <c r="E11" t="n">
        <v>65</v>
      </c>
      <c r="F11" s="8" t="n">
        <v>1248</v>
      </c>
    </row>
    <row r="12">
      <c r="A12" t="inlineStr">
        <is>
          <t>Feb</t>
        </is>
      </c>
      <c r="B12" t="inlineStr">
        <is>
          <t>Produce</t>
        </is>
      </c>
      <c r="C12" t="inlineStr">
        <is>
          <t>GreenField</t>
        </is>
      </c>
      <c r="D12" t="inlineStr">
        <is>
          <t>Free-range Eggs 12pk</t>
        </is>
      </c>
      <c r="E12" t="n">
        <v>95</v>
      </c>
      <c r="F12" s="8" t="n">
        <v>2318</v>
      </c>
    </row>
    <row r="13">
      <c r="A13" t="inlineStr">
        <is>
          <t>Mar</t>
        </is>
      </c>
      <c r="B13" t="inlineStr">
        <is>
          <t>Snacks</t>
        </is>
      </c>
      <c r="C13" t="inlineStr">
        <is>
          <t>Acme Foods</t>
        </is>
      </c>
      <c r="D13" t="inlineStr">
        <is>
          <t>Corn Puffs 12pk 150g</t>
        </is>
      </c>
      <c r="E13" t="n">
        <v>110</v>
      </c>
      <c r="F13" s="8" t="n">
        <v>2728</v>
      </c>
    </row>
    <row r="14">
      <c r="A14" t="inlineStr">
        <is>
          <t>Mar</t>
        </is>
      </c>
      <c r="B14" t="inlineStr">
        <is>
          <t>Snacks</t>
        </is>
      </c>
      <c r="C14" t="inlineStr">
        <is>
          <t>Harvest Lane</t>
        </is>
      </c>
      <c r="D14" t="inlineStr">
        <is>
          <t>Popcorn 10pk 100g</t>
        </is>
      </c>
      <c r="E14" t="n">
        <v>130</v>
      </c>
      <c r="F14" s="8" t="n">
        <v>2210</v>
      </c>
    </row>
    <row r="15">
      <c r="A15" t="inlineStr">
        <is>
          <t>Mar</t>
        </is>
      </c>
      <c r="B15" t="inlineStr">
        <is>
          <t>Bakery</t>
        </is>
      </c>
      <c r="C15" t="inlineStr">
        <is>
          <t>BrightHarvest</t>
        </is>
      </c>
      <c r="D15" t="inlineStr">
        <is>
          <t>Sourdough Loaf 800g</t>
        </is>
      </c>
      <c r="E15" t="n">
        <v>85</v>
      </c>
      <c r="F15" s="8" t="n">
        <v>3060</v>
      </c>
    </row>
    <row r="16">
      <c r="A16" t="inlineStr">
        <is>
          <t>Mar</t>
        </is>
      </c>
      <c r="B16" t="inlineStr">
        <is>
          <t>Dairy</t>
        </is>
      </c>
      <c r="C16" t="inlineStr">
        <is>
          <t>Coastal Co</t>
        </is>
      </c>
      <c r="D16" t="inlineStr">
        <is>
          <t>Cheddar Cheese 500g</t>
        </is>
      </c>
      <c r="E16" t="n">
        <v>50</v>
      </c>
      <c r="F16" s="8" t="n">
        <v>2450</v>
      </c>
    </row>
    <row r="17">
      <c r="A17" t="inlineStr">
        <is>
          <t>Mar</t>
        </is>
      </c>
      <c r="B17" t="inlineStr">
        <is>
          <t>Produce</t>
        </is>
      </c>
      <c r="C17" t="inlineStr">
        <is>
          <t>GreenField</t>
        </is>
      </c>
      <c r="D17" t="inlineStr">
        <is>
          <t>Basmati Rice 5kg</t>
        </is>
      </c>
      <c r="E17" t="n">
        <v>40</v>
      </c>
      <c r="F17" s="8" t="n">
        <v>1056</v>
      </c>
    </row>
    <row r="18">
      <c r="A18" t="inlineStr">
        <is>
          <t>Mar</t>
        </is>
      </c>
      <c r="B18" t="inlineStr">
        <is>
          <t>Produce</t>
        </is>
      </c>
      <c r="C18" t="inlineStr">
        <is>
          <t>GreenField</t>
        </is>
      </c>
      <c r="D18" t="inlineStr">
        <is>
          <t>Orange Juice 2L</t>
        </is>
      </c>
      <c r="E18" t="n">
        <v>100</v>
      </c>
      <c r="F18" s="8" t="n">
        <v>1920</v>
      </c>
    </row>
    <row r="19">
      <c r="A19" t="inlineStr">
        <is>
          <t>Mar</t>
        </is>
      </c>
      <c r="B19" t="inlineStr">
        <is>
          <t>Snacks</t>
        </is>
      </c>
      <c r="C19" t="inlineStr">
        <is>
          <t>Harvest Lane</t>
        </is>
      </c>
      <c r="D19" t="inlineStr">
        <is>
          <t>Pretzel Bites 20pk 220g</t>
        </is>
      </c>
      <c r="E19" t="n">
        <v>60</v>
      </c>
      <c r="F19" s="8" t="n">
        <v>1836</v>
      </c>
    </row>
  </sheetData>
  <mergeCells count="1">
    <mergeCell ref="H2:L7"/>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26" customWidth="1" min="4" max="4"/>
    <col width="9" customWidth="1" min="5" max="5"/>
    <col width="15" customWidth="1" min="6" max="6"/>
    <col width="16" customWidth="1" min="8" max="8"/>
    <col width="12" customWidth="1" min="9" max="9"/>
    <col width="12" customWidth="1" min="10" max="10"/>
    <col width="12" customWidth="1" min="11" max="11"/>
    <col width="12" customWidth="1" min="12" max="12"/>
  </cols>
  <sheetData>
    <row r="1">
      <c r="A1" s="3" t="inlineStr">
        <is>
          <t>Month</t>
        </is>
      </c>
      <c r="B1" s="3" t="inlineStr">
        <is>
          <t>Category</t>
        </is>
      </c>
      <c r="C1" s="3" t="inlineStr">
        <is>
          <t>Supplier</t>
        </is>
      </c>
      <c r="D1" s="3" t="inlineStr">
        <is>
          <t>Product</t>
        </is>
      </c>
      <c r="E1" s="3" t="inlineStr">
        <is>
          <t>Cases</t>
        </is>
      </c>
      <c r="F1" s="3" t="inlineStr">
        <is>
          <t>Revenue (AUD)</t>
        </is>
      </c>
      <c r="H1" s="6" t="inlineStr">
        <is>
          <t>Your task</t>
        </is>
      </c>
    </row>
    <row r="2">
      <c r="A2" t="inlineStr">
        <is>
          <t>Jan</t>
        </is>
      </c>
      <c r="B2" t="inlineStr">
        <is>
          <t>Snacks</t>
        </is>
      </c>
      <c r="C2" t="inlineStr">
        <is>
          <t>Acme Foods</t>
        </is>
      </c>
      <c r="D2" t="inlineStr">
        <is>
          <t>Stacked Chips 12pk 300g</t>
        </is>
      </c>
      <c r="E2" t="n">
        <v>120</v>
      </c>
      <c r="F2" s="8" t="n">
        <v>3480</v>
      </c>
      <c r="H2" s="7" t="inlineStr">
        <is>
          <t>Build the pivot from the PivotTable tab first (Category in Rows, Cases + Revenue in Values). Then PivotTable Analyze &gt; Insert Slicer, tick Category and Supplier. Add PivotTable Analyze &gt; Insert Timeline &gt; Month. Drag the panels beside the pivot; click a button to filter and drag the timeline to one month — that arrangement is the report.</t>
        </is>
      </c>
    </row>
    <row r="3">
      <c r="A3" t="inlineStr">
        <is>
          <t>Jan</t>
        </is>
      </c>
      <c r="B3" t="inlineStr">
        <is>
          <t>Snacks</t>
        </is>
      </c>
      <c r="C3" t="inlineStr">
        <is>
          <t>Acme Foods</t>
        </is>
      </c>
      <c r="D3" t="inlineStr">
        <is>
          <t>Corn Puffs 12pk 150g</t>
        </is>
      </c>
      <c r="E3" t="n">
        <v>90</v>
      </c>
      <c r="F3" s="8" t="n">
        <v>2232</v>
      </c>
    </row>
    <row r="4">
      <c r="A4" t="inlineStr">
        <is>
          <t>Jan</t>
        </is>
      </c>
      <c r="B4" t="inlineStr">
        <is>
          <t>Bakery</t>
        </is>
      </c>
      <c r="C4" t="inlineStr">
        <is>
          <t>BrightHarvest</t>
        </is>
      </c>
      <c r="D4" t="inlineStr">
        <is>
          <t>Sourdough Loaf 800g</t>
        </is>
      </c>
      <c r="E4" t="n">
        <v>60</v>
      </c>
      <c r="F4" s="8" t="n">
        <v>2160</v>
      </c>
    </row>
    <row r="5">
      <c r="A5" t="inlineStr">
        <is>
          <t>Jan</t>
        </is>
      </c>
      <c r="B5" t="inlineStr">
        <is>
          <t>Dairy</t>
        </is>
      </c>
      <c r="C5" t="inlineStr">
        <is>
          <t>Coastal Co</t>
        </is>
      </c>
      <c r="D5" t="inlineStr">
        <is>
          <t>Cheddar Cheese 500g</t>
        </is>
      </c>
      <c r="E5" t="n">
        <v>45</v>
      </c>
      <c r="F5" s="8" t="n">
        <v>2205</v>
      </c>
    </row>
    <row r="6">
      <c r="A6" t="inlineStr">
        <is>
          <t>Jan</t>
        </is>
      </c>
      <c r="B6" t="inlineStr">
        <is>
          <t>Produce</t>
        </is>
      </c>
      <c r="C6" t="inlineStr">
        <is>
          <t>GreenField</t>
        </is>
      </c>
      <c r="D6" t="inlineStr">
        <is>
          <t>Free-range Eggs 12pk</t>
        </is>
      </c>
      <c r="E6" t="n">
        <v>80</v>
      </c>
      <c r="F6" s="8" t="n">
        <v>1952</v>
      </c>
    </row>
    <row r="7">
      <c r="A7" t="inlineStr">
        <is>
          <t>Feb</t>
        </is>
      </c>
      <c r="B7" t="inlineStr">
        <is>
          <t>Snacks</t>
        </is>
      </c>
      <c r="C7" t="inlineStr">
        <is>
          <t>Acme Foods</t>
        </is>
      </c>
      <c r="D7" t="inlineStr">
        <is>
          <t>Stacked Chips 12pk 300g</t>
        </is>
      </c>
      <c r="E7" t="n">
        <v>140</v>
      </c>
      <c r="F7" s="8" t="n">
        <v>4060</v>
      </c>
    </row>
    <row r="8">
      <c r="A8" t="inlineStr">
        <is>
          <t>Feb</t>
        </is>
      </c>
      <c r="B8" t="inlineStr">
        <is>
          <t>Snacks</t>
        </is>
      </c>
      <c r="C8" t="inlineStr">
        <is>
          <t>Harvest Lane</t>
        </is>
      </c>
      <c r="D8" t="inlineStr">
        <is>
          <t>Rice Crackers 24pk 100g</t>
        </is>
      </c>
      <c r="E8" t="n">
        <v>70</v>
      </c>
      <c r="F8" s="8" t="n">
        <v>2625</v>
      </c>
    </row>
    <row r="9">
      <c r="A9" t="inlineStr">
        <is>
          <t>Feb</t>
        </is>
      </c>
      <c r="B9" t="inlineStr">
        <is>
          <t>Bakery</t>
        </is>
      </c>
      <c r="C9" t="inlineStr">
        <is>
          <t>BrightHarvest</t>
        </is>
      </c>
      <c r="D9" t="inlineStr">
        <is>
          <t>Sourdough Loaf 800g</t>
        </is>
      </c>
      <c r="E9" t="n">
        <v>75</v>
      </c>
      <c r="F9" s="8" t="n">
        <v>2700</v>
      </c>
    </row>
    <row r="10">
      <c r="A10" t="inlineStr">
        <is>
          <t>Feb</t>
        </is>
      </c>
      <c r="B10" t="inlineStr">
        <is>
          <t>Dairy</t>
        </is>
      </c>
      <c r="C10" t="inlineStr">
        <is>
          <t>Coastal Co</t>
        </is>
      </c>
      <c r="D10" t="inlineStr">
        <is>
          <t>Salted Butter 250g</t>
        </is>
      </c>
      <c r="E10" t="n">
        <v>55</v>
      </c>
      <c r="F10" s="8" t="n">
        <v>1749</v>
      </c>
    </row>
    <row r="11">
      <c r="A11" t="inlineStr">
        <is>
          <t>Feb</t>
        </is>
      </c>
      <c r="B11" t="inlineStr">
        <is>
          <t>Dairy</t>
        </is>
      </c>
      <c r="C11" t="inlineStr">
        <is>
          <t>Coastal Co</t>
        </is>
      </c>
      <c r="D11" t="inlineStr">
        <is>
          <t>Greek Yoghurt 1kg</t>
        </is>
      </c>
      <c r="E11" t="n">
        <v>65</v>
      </c>
      <c r="F11" s="8" t="n">
        <v>1248</v>
      </c>
    </row>
    <row r="12">
      <c r="A12" t="inlineStr">
        <is>
          <t>Feb</t>
        </is>
      </c>
      <c r="B12" t="inlineStr">
        <is>
          <t>Produce</t>
        </is>
      </c>
      <c r="C12" t="inlineStr">
        <is>
          <t>GreenField</t>
        </is>
      </c>
      <c r="D12" t="inlineStr">
        <is>
          <t>Free-range Eggs 12pk</t>
        </is>
      </c>
      <c r="E12" t="n">
        <v>95</v>
      </c>
      <c r="F12" s="8" t="n">
        <v>2318</v>
      </c>
    </row>
    <row r="13">
      <c r="A13" t="inlineStr">
        <is>
          <t>Mar</t>
        </is>
      </c>
      <c r="B13" t="inlineStr">
        <is>
          <t>Snacks</t>
        </is>
      </c>
      <c r="C13" t="inlineStr">
        <is>
          <t>Acme Foods</t>
        </is>
      </c>
      <c r="D13" t="inlineStr">
        <is>
          <t>Corn Puffs 12pk 150g</t>
        </is>
      </c>
      <c r="E13" t="n">
        <v>110</v>
      </c>
      <c r="F13" s="8" t="n">
        <v>2728</v>
      </c>
    </row>
    <row r="14">
      <c r="A14" t="inlineStr">
        <is>
          <t>Mar</t>
        </is>
      </c>
      <c r="B14" t="inlineStr">
        <is>
          <t>Snacks</t>
        </is>
      </c>
      <c r="C14" t="inlineStr">
        <is>
          <t>Harvest Lane</t>
        </is>
      </c>
      <c r="D14" t="inlineStr">
        <is>
          <t>Popcorn 10pk 100g</t>
        </is>
      </c>
      <c r="E14" t="n">
        <v>130</v>
      </c>
      <c r="F14" s="8" t="n">
        <v>2210</v>
      </c>
    </row>
    <row r="15">
      <c r="A15" t="inlineStr">
        <is>
          <t>Mar</t>
        </is>
      </c>
      <c r="B15" t="inlineStr">
        <is>
          <t>Bakery</t>
        </is>
      </c>
      <c r="C15" t="inlineStr">
        <is>
          <t>BrightHarvest</t>
        </is>
      </c>
      <c r="D15" t="inlineStr">
        <is>
          <t>Sourdough Loaf 800g</t>
        </is>
      </c>
      <c r="E15" t="n">
        <v>85</v>
      </c>
      <c r="F15" s="8" t="n">
        <v>3060</v>
      </c>
    </row>
    <row r="16">
      <c r="A16" t="inlineStr">
        <is>
          <t>Mar</t>
        </is>
      </c>
      <c r="B16" t="inlineStr">
        <is>
          <t>Dairy</t>
        </is>
      </c>
      <c r="C16" t="inlineStr">
        <is>
          <t>Coastal Co</t>
        </is>
      </c>
      <c r="D16" t="inlineStr">
        <is>
          <t>Cheddar Cheese 500g</t>
        </is>
      </c>
      <c r="E16" t="n">
        <v>50</v>
      </c>
      <c r="F16" s="8" t="n">
        <v>2450</v>
      </c>
    </row>
    <row r="17">
      <c r="A17" t="inlineStr">
        <is>
          <t>Mar</t>
        </is>
      </c>
      <c r="B17" t="inlineStr">
        <is>
          <t>Produce</t>
        </is>
      </c>
      <c r="C17" t="inlineStr">
        <is>
          <t>GreenField</t>
        </is>
      </c>
      <c r="D17" t="inlineStr">
        <is>
          <t>Basmati Rice 5kg</t>
        </is>
      </c>
      <c r="E17" t="n">
        <v>40</v>
      </c>
      <c r="F17" s="8" t="n">
        <v>1056</v>
      </c>
    </row>
    <row r="18">
      <c r="A18" t="inlineStr">
        <is>
          <t>Mar</t>
        </is>
      </c>
      <c r="B18" t="inlineStr">
        <is>
          <t>Produce</t>
        </is>
      </c>
      <c r="C18" t="inlineStr">
        <is>
          <t>GreenField</t>
        </is>
      </c>
      <c r="D18" t="inlineStr">
        <is>
          <t>Orange Juice 2L</t>
        </is>
      </c>
      <c r="E18" t="n">
        <v>100</v>
      </c>
      <c r="F18" s="8" t="n">
        <v>1920</v>
      </c>
    </row>
    <row r="19">
      <c r="A19" t="inlineStr">
        <is>
          <t>Mar</t>
        </is>
      </c>
      <c r="B19" t="inlineStr">
        <is>
          <t>Snacks</t>
        </is>
      </c>
      <c r="C19" t="inlineStr">
        <is>
          <t>Harvest Lane</t>
        </is>
      </c>
      <c r="D19" t="inlineStr">
        <is>
          <t>Pretzel Bites 20pk 220g</t>
        </is>
      </c>
      <c r="E19" t="n">
        <v>60</v>
      </c>
      <c r="F19" s="8" t="n">
        <v>1836</v>
      </c>
    </row>
  </sheetData>
  <mergeCells count="1">
    <mergeCell ref="H2:L7"/>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5" customWidth="1" min="3" max="3"/>
    <col width="14" customWidth="1" min="5" max="5"/>
    <col width="26" customWidth="1" min="7" max="7"/>
    <col width="12" customWidth="1" min="8" max="8"/>
  </cols>
  <sheetData>
    <row r="1">
      <c r="A1" s="3" t="inlineStr">
        <is>
          <t>Category</t>
        </is>
      </c>
      <c r="B1" s="3" t="inlineStr">
        <is>
          <t>Product</t>
        </is>
      </c>
      <c r="C1" s="3" t="inlineStr">
        <is>
          <t>Revenue (AUD)</t>
        </is>
      </c>
      <c r="E1" s="3" t="inlineStr">
        <is>
          <t>Categories</t>
        </is>
      </c>
      <c r="G1" s="3" t="inlineStr">
        <is>
          <t>Snacks product</t>
        </is>
      </c>
      <c r="H1" s="3" t="inlineStr">
        <is>
          <t>Revenue</t>
        </is>
      </c>
    </row>
    <row r="2">
      <c r="A2" t="inlineStr">
        <is>
          <t>Snacks</t>
        </is>
      </c>
      <c r="B2" t="inlineStr">
        <is>
          <t>Stacked Chips 12pk 300g</t>
        </is>
      </c>
      <c r="C2" s="9" t="n">
        <v>3480</v>
      </c>
    </row>
    <row r="3">
      <c r="A3" t="inlineStr">
        <is>
          <t>Snacks</t>
        </is>
      </c>
      <c r="B3" t="inlineStr">
        <is>
          <t>Corn Puffs 12pk 150g</t>
        </is>
      </c>
      <c r="C3" s="9" t="n">
        <v>2232</v>
      </c>
    </row>
    <row r="4">
      <c r="A4" t="inlineStr">
        <is>
          <t>Snacks</t>
        </is>
      </c>
      <c r="B4" t="inlineStr">
        <is>
          <t>Rice Crackers 24pk 100g</t>
        </is>
      </c>
      <c r="C4" s="9" t="n">
        <v>2625</v>
      </c>
      <c r="E4" s="6" t="inlineStr">
        <is>
          <t>Your task</t>
        </is>
      </c>
    </row>
    <row r="5">
      <c r="A5" t="inlineStr">
        <is>
          <t>Snacks</t>
        </is>
      </c>
      <c r="B5" t="inlineStr">
        <is>
          <t>Popcorn 10pk 100g</t>
        </is>
      </c>
      <c r="C5" s="9" t="n">
        <v>2210</v>
      </c>
      <c r="E5" s="7" t="inlineStr">
        <is>
          <t>In E2 type  =SORT(UNIQUE(A2:A15))  and press Enter — a sorted, de-duplicated category list spills down. In G2 type  =FILTER(B2:C15,A2:A15="Snacks")  — the Snacks product and revenue spill into G and H. Don't fill these down; the single formula does it all.</t>
        </is>
      </c>
    </row>
    <row r="6">
      <c r="A6" t="inlineStr">
        <is>
          <t>Bakery</t>
        </is>
      </c>
      <c r="B6" t="inlineStr">
        <is>
          <t>Sourdough Loaf 800g</t>
        </is>
      </c>
      <c r="C6" s="9" t="n">
        <v>3060</v>
      </c>
    </row>
    <row r="7">
      <c r="A7" t="inlineStr">
        <is>
          <t>Bakery</t>
        </is>
      </c>
      <c r="B7" t="inlineStr">
        <is>
          <t>Ciabatta Rolls 6pk</t>
        </is>
      </c>
      <c r="C7" s="9" t="n">
        <v>1440</v>
      </c>
    </row>
    <row r="8">
      <c r="A8" t="inlineStr">
        <is>
          <t>Bakery</t>
        </is>
      </c>
      <c r="B8" t="inlineStr">
        <is>
          <t>Bagels 6pk</t>
        </is>
      </c>
      <c r="C8" s="9" t="n">
        <v>1875</v>
      </c>
    </row>
    <row r="9">
      <c r="A9" t="inlineStr">
        <is>
          <t>Dairy</t>
        </is>
      </c>
      <c r="B9" t="inlineStr">
        <is>
          <t>Cheddar Cheese 500g</t>
        </is>
      </c>
      <c r="C9" s="9" t="n">
        <v>2450</v>
      </c>
    </row>
    <row r="10">
      <c r="A10" t="inlineStr">
        <is>
          <t>Dairy</t>
        </is>
      </c>
      <c r="B10" t="inlineStr">
        <is>
          <t>Salted Butter 250g</t>
        </is>
      </c>
      <c r="C10" s="9" t="n">
        <v>1749</v>
      </c>
    </row>
    <row r="11">
      <c r="A11" t="inlineStr">
        <is>
          <t>Dairy</t>
        </is>
      </c>
      <c r="B11" t="inlineStr">
        <is>
          <t>Greek Yoghurt 1kg</t>
        </is>
      </c>
      <c r="C11" s="9" t="n">
        <v>1248</v>
      </c>
    </row>
    <row r="12">
      <c r="A12" t="inlineStr">
        <is>
          <t>Dairy</t>
        </is>
      </c>
      <c r="B12" t="inlineStr">
        <is>
          <t>Milk 2L</t>
        </is>
      </c>
      <c r="C12" s="9" t="n">
        <v>2100</v>
      </c>
    </row>
    <row r="13">
      <c r="A13" t="inlineStr">
        <is>
          <t>Produce</t>
        </is>
      </c>
      <c r="B13" t="inlineStr">
        <is>
          <t>Bananas 1kg</t>
        </is>
      </c>
      <c r="C13" s="9" t="n">
        <v>1000</v>
      </c>
    </row>
    <row r="14">
      <c r="A14" t="inlineStr">
        <is>
          <t>Produce</t>
        </is>
      </c>
      <c r="B14" t="inlineStr">
        <is>
          <t>Baby Spinach 200g</t>
        </is>
      </c>
      <c r="C14" s="9" t="n">
        <v>810</v>
      </c>
    </row>
    <row r="15">
      <c r="A15" t="inlineStr">
        <is>
          <t>Produce</t>
        </is>
      </c>
      <c r="B15" t="inlineStr">
        <is>
          <t>Cherry Tomatoes 250g</t>
        </is>
      </c>
      <c r="C15" s="9" t="n">
        <v>1320</v>
      </c>
    </row>
  </sheetData>
  <mergeCells count="1">
    <mergeCell ref="E5:I9"/>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5" customWidth="1" min="3" max="3"/>
    <col width="14" customWidth="1" min="5" max="5"/>
    <col width="26" customWidth="1" min="7" max="7"/>
    <col width="12" customWidth="1" min="8" max="8"/>
  </cols>
  <sheetData>
    <row r="1">
      <c r="A1" s="3" t="inlineStr">
        <is>
          <t>Category</t>
        </is>
      </c>
      <c r="B1" s="3" t="inlineStr">
        <is>
          <t>Product</t>
        </is>
      </c>
      <c r="C1" s="3" t="inlineStr">
        <is>
          <t>Revenue (AUD)</t>
        </is>
      </c>
      <c r="E1" s="3" t="inlineStr">
        <is>
          <t>Categories</t>
        </is>
      </c>
      <c r="G1" s="3" t="inlineStr">
        <is>
          <t>Snacks product</t>
        </is>
      </c>
      <c r="H1" s="3" t="inlineStr">
        <is>
          <t>Revenue</t>
        </is>
      </c>
    </row>
    <row r="2">
      <c r="A2" t="inlineStr">
        <is>
          <t>Snacks</t>
        </is>
      </c>
      <c r="B2" t="inlineStr">
        <is>
          <t>Stacked Chips 12pk 300g</t>
        </is>
      </c>
      <c r="C2" s="9" t="n">
        <v>3480</v>
      </c>
    </row>
    <row r="3">
      <c r="A3" t="inlineStr">
        <is>
          <t>Snacks</t>
        </is>
      </c>
      <c r="B3" t="inlineStr">
        <is>
          <t>Corn Puffs 12pk 150g</t>
        </is>
      </c>
      <c r="C3" s="9" t="n">
        <v>2232</v>
      </c>
    </row>
    <row r="4">
      <c r="A4" t="inlineStr">
        <is>
          <t>Snacks</t>
        </is>
      </c>
      <c r="B4" t="inlineStr">
        <is>
          <t>Rice Crackers 24pk 100g</t>
        </is>
      </c>
      <c r="C4" s="9" t="n">
        <v>2625</v>
      </c>
    </row>
    <row r="5">
      <c r="A5" t="inlineStr">
        <is>
          <t>Snacks</t>
        </is>
      </c>
      <c r="B5" t="inlineStr">
        <is>
          <t>Popcorn 10pk 100g</t>
        </is>
      </c>
      <c r="C5" s="9" t="n">
        <v>2210</v>
      </c>
    </row>
    <row r="6">
      <c r="A6" t="inlineStr">
        <is>
          <t>Bakery</t>
        </is>
      </c>
      <c r="B6" t="inlineStr">
        <is>
          <t>Sourdough Loaf 800g</t>
        </is>
      </c>
      <c r="C6" s="9" t="n">
        <v>3060</v>
      </c>
    </row>
    <row r="7">
      <c r="A7" t="inlineStr">
        <is>
          <t>Bakery</t>
        </is>
      </c>
      <c r="B7" t="inlineStr">
        <is>
          <t>Ciabatta Rolls 6pk</t>
        </is>
      </c>
      <c r="C7" s="9" t="n">
        <v>1440</v>
      </c>
    </row>
    <row r="8">
      <c r="A8" t="inlineStr">
        <is>
          <t>Bakery</t>
        </is>
      </c>
      <c r="B8" t="inlineStr">
        <is>
          <t>Bagels 6pk</t>
        </is>
      </c>
      <c r="C8" s="9" t="n">
        <v>1875</v>
      </c>
    </row>
    <row r="9">
      <c r="A9" t="inlineStr">
        <is>
          <t>Dairy</t>
        </is>
      </c>
      <c r="B9" t="inlineStr">
        <is>
          <t>Cheddar Cheese 500g</t>
        </is>
      </c>
      <c r="C9" s="9" t="n">
        <v>2450</v>
      </c>
    </row>
    <row r="10">
      <c r="A10" t="inlineStr">
        <is>
          <t>Dairy</t>
        </is>
      </c>
      <c r="B10" t="inlineStr">
        <is>
          <t>Salted Butter 250g</t>
        </is>
      </c>
      <c r="C10" s="9" t="n">
        <v>1749</v>
      </c>
    </row>
    <row r="11">
      <c r="A11" t="inlineStr">
        <is>
          <t>Dairy</t>
        </is>
      </c>
      <c r="B11" t="inlineStr">
        <is>
          <t>Greek Yoghurt 1kg</t>
        </is>
      </c>
      <c r="C11" s="9" t="n">
        <v>1248</v>
      </c>
    </row>
    <row r="12">
      <c r="A12" t="inlineStr">
        <is>
          <t>Dairy</t>
        </is>
      </c>
      <c r="B12" t="inlineStr">
        <is>
          <t>Milk 2L</t>
        </is>
      </c>
      <c r="C12" s="9" t="n">
        <v>2100</v>
      </c>
    </row>
    <row r="13">
      <c r="A13" t="inlineStr">
        <is>
          <t>Produce</t>
        </is>
      </c>
      <c r="B13" t="inlineStr">
        <is>
          <t>Bananas 1kg</t>
        </is>
      </c>
      <c r="C13" s="9" t="n">
        <v>1000</v>
      </c>
    </row>
    <row r="14">
      <c r="A14" t="inlineStr">
        <is>
          <t>Produce</t>
        </is>
      </c>
      <c r="B14" t="inlineStr">
        <is>
          <t>Baby Spinach 200g</t>
        </is>
      </c>
      <c r="C14" s="9" t="n">
        <v>810</v>
      </c>
    </row>
    <row r="15">
      <c r="A15" t="inlineStr">
        <is>
          <t>Produce</t>
        </is>
      </c>
      <c r="B15" t="inlineStr">
        <is>
          <t>Cherry Tomatoes 250g</t>
        </is>
      </c>
      <c r="C15" s="9" t="n">
        <v>1320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 width="10" customWidth="1" min="3" max="3"/>
    <col width="14" customWidth="1" min="4" max="4"/>
    <col width="12" customWidth="1" min="5" max="5"/>
    <col width="12" customWidth="1" min="7" max="7"/>
    <col width="12" customWidth="1" min="8" max="8"/>
    <col width="12" customWidth="1" min="9" max="9"/>
    <col width="12" customWidth="1" min="10" max="10"/>
    <col width="12" customWidth="1" min="11" max="11"/>
  </cols>
  <sheetData>
    <row r="1">
      <c r="A1" s="3" t="inlineStr">
        <is>
          <t>Product</t>
        </is>
      </c>
      <c r="B1" s="3" t="inlineStr">
        <is>
          <t>Revenue (AUD)</t>
        </is>
      </c>
      <c r="C1" s="3" t="inlineStr">
        <is>
          <t>Margin</t>
        </is>
      </c>
      <c r="D1" s="3" t="inlineStr">
        <is>
          <t>Date</t>
        </is>
      </c>
      <c r="E1" s="3" t="inlineStr">
        <is>
          <t>Variance</t>
        </is>
      </c>
      <c r="G1" s="6" t="inlineStr">
        <is>
          <t>Your task</t>
        </is>
      </c>
    </row>
    <row r="2">
      <c r="A2" t="inlineStr">
        <is>
          <t>Stacked Chips 12pk 300g</t>
        </is>
      </c>
      <c r="B2" t="n">
        <v>3480</v>
      </c>
      <c r="C2" t="n">
        <v>0.31</v>
      </c>
      <c r="D2" s="11" t="n">
        <v>46037</v>
      </c>
      <c r="E2" t="n">
        <v>480</v>
      </c>
      <c r="G2" s="7" t="inlineStr">
        <is>
          <t>Press Ctrl+1 on each column and format, without changing any value: Revenue as currency ($#,##0), Margin as a percentage (0.0%), Date as a short date, and Variance with the custom code  #,##0;[Red](#,##0)  so losses show red and bracketed. The formula bar still shows the true number underneath.</t>
        </is>
      </c>
    </row>
    <row r="3">
      <c r="A3" t="inlineStr">
        <is>
          <t>Corn Puffs 12pk 150g</t>
        </is>
      </c>
      <c r="B3" t="n">
        <v>2232</v>
      </c>
      <c r="C3" t="n">
        <v>0.18</v>
      </c>
      <c r="D3" s="11" t="n">
        <v>46037</v>
      </c>
      <c r="E3" t="n">
        <v>-120</v>
      </c>
    </row>
    <row r="4">
      <c r="A4" t="inlineStr">
        <is>
          <t>Rice Crackers 24pk 100g</t>
        </is>
      </c>
      <c r="B4" t="n">
        <v>2625</v>
      </c>
      <c r="C4" t="n">
        <v>0.42</v>
      </c>
      <c r="D4" s="11" t="n">
        <v>46068</v>
      </c>
      <c r="E4" t="n">
        <v>310</v>
      </c>
    </row>
    <row r="5">
      <c r="A5" t="inlineStr">
        <is>
          <t>Popcorn 10pk 100g</t>
        </is>
      </c>
      <c r="B5" t="n">
        <v>2210</v>
      </c>
      <c r="C5" t="n">
        <v>0.12</v>
      </c>
      <c r="D5" s="11" t="n">
        <v>46068</v>
      </c>
      <c r="E5" t="n">
        <v>-260</v>
      </c>
    </row>
    <row r="6">
      <c r="A6" t="inlineStr">
        <is>
          <t>Sourdough Loaf 800g</t>
        </is>
      </c>
      <c r="B6" t="n">
        <v>3060</v>
      </c>
      <c r="C6" t="n">
        <v>0.27</v>
      </c>
      <c r="D6" s="11" t="n">
        <v>46096</v>
      </c>
      <c r="E6" t="n">
        <v>200</v>
      </c>
    </row>
    <row r="7">
      <c r="A7" t="inlineStr">
        <is>
          <t>Cheddar Cheese 500g</t>
        </is>
      </c>
      <c r="B7" t="n">
        <v>2450</v>
      </c>
      <c r="C7" t="n">
        <v>0.38</v>
      </c>
      <c r="D7" s="11" t="n">
        <v>46096</v>
      </c>
      <c r="E7" t="n">
        <v>150</v>
      </c>
    </row>
    <row r="8">
      <c r="A8" t="inlineStr">
        <is>
          <t>Salted Butter 250g</t>
        </is>
      </c>
      <c r="B8" t="n">
        <v>1749</v>
      </c>
      <c r="C8" t="n">
        <v>0.22</v>
      </c>
      <c r="D8" s="11" t="n">
        <v>46096</v>
      </c>
      <c r="E8" t="n">
        <v>-80</v>
      </c>
    </row>
    <row r="9">
      <c r="A9" t="inlineStr">
        <is>
          <t>Greek Yoghurt 1kg</t>
        </is>
      </c>
      <c r="B9" t="n">
        <v>1248</v>
      </c>
      <c r="C9" t="n">
        <v>0.09</v>
      </c>
      <c r="D9" s="11" t="n">
        <v>46127</v>
      </c>
      <c r="E9" t="n">
        <v>-140</v>
      </c>
    </row>
    <row r="10">
      <c r="A10" t="inlineStr">
        <is>
          <t>Free-range Eggs 12pk</t>
        </is>
      </c>
      <c r="B10" t="n">
        <v>2318</v>
      </c>
      <c r="C10" t="n">
        <v>0.16</v>
      </c>
      <c r="D10" s="11" t="n">
        <v>46127</v>
      </c>
      <c r="E10" t="n">
        <v>90</v>
      </c>
    </row>
    <row r="11">
      <c r="A11" t="inlineStr">
        <is>
          <t>Basmati Rice 5kg</t>
        </is>
      </c>
      <c r="B11" t="n">
        <v>1056</v>
      </c>
      <c r="C11" t="n">
        <v>0.34</v>
      </c>
      <c r="D11" s="11" t="n">
        <v>46127</v>
      </c>
      <c r="E11" t="n">
        <v>45</v>
      </c>
    </row>
  </sheetData>
  <mergeCells count="1">
    <mergeCell ref="G2:K6"/>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 width="10" customWidth="1" min="3" max="3"/>
    <col width="14" customWidth="1" min="4" max="4"/>
    <col width="12" customWidth="1" min="5" max="5"/>
  </cols>
  <sheetData>
    <row r="1">
      <c r="A1" s="3" t="inlineStr">
        <is>
          <t>Product</t>
        </is>
      </c>
      <c r="B1" s="3" t="inlineStr">
        <is>
          <t>Revenue (AUD)</t>
        </is>
      </c>
      <c r="C1" s="3" t="inlineStr">
        <is>
          <t>Margin</t>
        </is>
      </c>
      <c r="D1" s="3" t="inlineStr">
        <is>
          <t>Date</t>
        </is>
      </c>
      <c r="E1" s="3" t="inlineStr">
        <is>
          <t>Variance</t>
        </is>
      </c>
    </row>
    <row r="2">
      <c r="A2" t="inlineStr">
        <is>
          <t>Stacked Chips 12pk 300g</t>
        </is>
      </c>
      <c r="B2" s="12" t="n">
        <v>3480</v>
      </c>
      <c r="C2" s="13" t="n">
        <v>0.31</v>
      </c>
      <c r="D2" s="10" t="n">
        <v>46037</v>
      </c>
      <c r="E2" s="14" t="n">
        <v>480</v>
      </c>
    </row>
    <row r="3">
      <c r="A3" t="inlineStr">
        <is>
          <t>Corn Puffs 12pk 150g</t>
        </is>
      </c>
      <c r="B3" s="12" t="n">
        <v>2232</v>
      </c>
      <c r="C3" s="13" t="n">
        <v>0.18</v>
      </c>
      <c r="D3" s="10" t="n">
        <v>46037</v>
      </c>
      <c r="E3" s="14" t="n">
        <v>-120</v>
      </c>
    </row>
    <row r="4">
      <c r="A4" t="inlineStr">
        <is>
          <t>Rice Crackers 24pk 100g</t>
        </is>
      </c>
      <c r="B4" s="12" t="n">
        <v>2625</v>
      </c>
      <c r="C4" s="13" t="n">
        <v>0.42</v>
      </c>
      <c r="D4" s="10" t="n">
        <v>46068</v>
      </c>
      <c r="E4" s="14" t="n">
        <v>310</v>
      </c>
    </row>
    <row r="5">
      <c r="A5" t="inlineStr">
        <is>
          <t>Popcorn 10pk 100g</t>
        </is>
      </c>
      <c r="B5" s="12" t="n">
        <v>2210</v>
      </c>
      <c r="C5" s="13" t="n">
        <v>0.12</v>
      </c>
      <c r="D5" s="10" t="n">
        <v>46068</v>
      </c>
      <c r="E5" s="14" t="n">
        <v>-260</v>
      </c>
    </row>
    <row r="6">
      <c r="A6" t="inlineStr">
        <is>
          <t>Sourdough Loaf 800g</t>
        </is>
      </c>
      <c r="B6" s="12" t="n">
        <v>3060</v>
      </c>
      <c r="C6" s="13" t="n">
        <v>0.27</v>
      </c>
      <c r="D6" s="10" t="n">
        <v>46096</v>
      </c>
      <c r="E6" s="14" t="n">
        <v>200</v>
      </c>
    </row>
    <row r="7">
      <c r="A7" t="inlineStr">
        <is>
          <t>Cheddar Cheese 500g</t>
        </is>
      </c>
      <c r="B7" s="12" t="n">
        <v>2450</v>
      </c>
      <c r="C7" s="13" t="n">
        <v>0.38</v>
      </c>
      <c r="D7" s="10" t="n">
        <v>46096</v>
      </c>
      <c r="E7" s="14" t="n">
        <v>150</v>
      </c>
    </row>
    <row r="8">
      <c r="A8" t="inlineStr">
        <is>
          <t>Salted Butter 250g</t>
        </is>
      </c>
      <c r="B8" s="12" t="n">
        <v>1749</v>
      </c>
      <c r="C8" s="13" t="n">
        <v>0.22</v>
      </c>
      <c r="D8" s="10" t="n">
        <v>46096</v>
      </c>
      <c r="E8" s="14" t="n">
        <v>-80</v>
      </c>
    </row>
    <row r="9">
      <c r="A9" t="inlineStr">
        <is>
          <t>Greek Yoghurt 1kg</t>
        </is>
      </c>
      <c r="B9" s="12" t="n">
        <v>1248</v>
      </c>
      <c r="C9" s="13" t="n">
        <v>0.09</v>
      </c>
      <c r="D9" s="10" t="n">
        <v>46127</v>
      </c>
      <c r="E9" s="14" t="n">
        <v>-140</v>
      </c>
    </row>
    <row r="10">
      <c r="A10" t="inlineStr">
        <is>
          <t>Free-range Eggs 12pk</t>
        </is>
      </c>
      <c r="B10" s="12" t="n">
        <v>2318</v>
      </c>
      <c r="C10" s="13" t="n">
        <v>0.16</v>
      </c>
      <c r="D10" s="10" t="n">
        <v>46127</v>
      </c>
      <c r="E10" s="14" t="n">
        <v>90</v>
      </c>
    </row>
    <row r="11">
      <c r="A11" t="inlineStr">
        <is>
          <t>Basmati Rice 5kg</t>
        </is>
      </c>
      <c r="B11" s="12" t="n">
        <v>1056</v>
      </c>
      <c r="C11" s="13" t="n">
        <v>0.34</v>
      </c>
      <c r="D11" s="10" t="n">
        <v>46127</v>
      </c>
      <c r="E11" s="14" t="n">
        <v>45</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2" customWidth="1" min="4" max="4"/>
    <col width="12" customWidth="1" min="5" max="5"/>
    <col width="12" customWidth="1" min="6" max="6"/>
    <col width="12" customWidth="1" min="7" max="7"/>
  </cols>
  <sheetData>
    <row r="1">
      <c r="A1" s="3" t="inlineStr">
        <is>
          <t>Product</t>
        </is>
      </c>
      <c r="B1" s="3" t="inlineStr">
        <is>
          <t>Margin %</t>
        </is>
      </c>
    </row>
    <row r="2">
      <c r="A2" t="inlineStr">
        <is>
          <t>Stacked Chips 12pk 300g</t>
        </is>
      </c>
      <c r="B2" s="15" t="n">
        <v>0.31</v>
      </c>
      <c r="D2" s="6" t="inlineStr">
        <is>
          <t>Your task</t>
        </is>
      </c>
    </row>
    <row r="3">
      <c r="A3" t="inlineStr">
        <is>
          <t>Corn Puffs 12pk 150g</t>
        </is>
      </c>
      <c r="B3" s="15" t="n">
        <v>0.18</v>
      </c>
      <c r="D3" s="7" t="inlineStr">
        <is>
          <t>Select B2:B11. Home &gt; Conditional Formatting &gt; Colour Scales for a green-to-red heat map, then add a rule: Highlight Cells Rules &gt; Less Than &gt; 0.20 with a red fill. Low-margin lines now jump out without you reading a single number.</t>
        </is>
      </c>
    </row>
    <row r="4">
      <c r="A4" t="inlineStr">
        <is>
          <t>Rice Crackers 24pk 100g</t>
        </is>
      </c>
      <c r="B4" s="15" t="n">
        <v>0.42</v>
      </c>
    </row>
    <row r="5">
      <c r="A5" t="inlineStr">
        <is>
          <t>Popcorn 10pk 100g</t>
        </is>
      </c>
      <c r="B5" s="15" t="n">
        <v>0.12</v>
      </c>
    </row>
    <row r="6">
      <c r="A6" t="inlineStr">
        <is>
          <t>Sourdough Loaf 800g</t>
        </is>
      </c>
      <c r="B6" s="15" t="n">
        <v>0.27</v>
      </c>
    </row>
    <row r="7">
      <c r="A7" t="inlineStr">
        <is>
          <t>Cheddar Cheese 500g</t>
        </is>
      </c>
      <c r="B7" s="15" t="n">
        <v>0.38</v>
      </c>
    </row>
    <row r="8">
      <c r="A8" t="inlineStr">
        <is>
          <t>Salted Butter 250g</t>
        </is>
      </c>
      <c r="B8" s="15" t="n">
        <v>0.22</v>
      </c>
    </row>
    <row r="9">
      <c r="A9" t="inlineStr">
        <is>
          <t>Greek Yoghurt 1kg</t>
        </is>
      </c>
      <c r="B9" s="15" t="n">
        <v>0.09</v>
      </c>
    </row>
    <row r="10">
      <c r="A10" t="inlineStr">
        <is>
          <t>Free-range Eggs 12pk</t>
        </is>
      </c>
      <c r="B10" s="15" t="n">
        <v>0.16</v>
      </c>
    </row>
    <row r="11">
      <c r="A11" t="inlineStr">
        <is>
          <t>Basmati Rice 5kg</t>
        </is>
      </c>
      <c r="B11" s="15" t="n">
        <v>0.34</v>
      </c>
    </row>
  </sheetData>
  <mergeCells count="1">
    <mergeCell ref="D3:G7"/>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s>
  <sheetData>
    <row r="1">
      <c r="A1" s="3" t="inlineStr">
        <is>
          <t>Product</t>
        </is>
      </c>
      <c r="B1" s="3" t="inlineStr">
        <is>
          <t>Margin %</t>
        </is>
      </c>
    </row>
    <row r="2">
      <c r="A2" t="inlineStr">
        <is>
          <t>Stacked Chips 12pk 300g</t>
        </is>
      </c>
      <c r="B2" s="15" t="n">
        <v>0.31</v>
      </c>
    </row>
    <row r="3">
      <c r="A3" t="inlineStr">
        <is>
          <t>Corn Puffs 12pk 150g</t>
        </is>
      </c>
      <c r="B3" s="15" t="n">
        <v>0.18</v>
      </c>
    </row>
    <row r="4">
      <c r="A4" t="inlineStr">
        <is>
          <t>Rice Crackers 24pk 100g</t>
        </is>
      </c>
      <c r="B4" s="15" t="n">
        <v>0.42</v>
      </c>
    </row>
    <row r="5">
      <c r="A5" t="inlineStr">
        <is>
          <t>Popcorn 10pk 100g</t>
        </is>
      </c>
      <c r="B5" s="15" t="n">
        <v>0.12</v>
      </c>
    </row>
    <row r="6">
      <c r="A6" t="inlineStr">
        <is>
          <t>Sourdough Loaf 800g</t>
        </is>
      </c>
      <c r="B6" s="15" t="n">
        <v>0.27</v>
      </c>
    </row>
    <row r="7">
      <c r="A7" t="inlineStr">
        <is>
          <t>Cheddar Cheese 500g</t>
        </is>
      </c>
      <c r="B7" s="15" t="n">
        <v>0.38</v>
      </c>
    </row>
    <row r="8">
      <c r="A8" t="inlineStr">
        <is>
          <t>Salted Butter 250g</t>
        </is>
      </c>
      <c r="B8" s="15" t="n">
        <v>0.22</v>
      </c>
    </row>
    <row r="9">
      <c r="A9" t="inlineStr">
        <is>
          <t>Greek Yoghurt 1kg</t>
        </is>
      </c>
      <c r="B9" s="15" t="n">
        <v>0.09</v>
      </c>
    </row>
    <row r="10">
      <c r="A10" t="inlineStr">
        <is>
          <t>Free-range Eggs 12pk</t>
        </is>
      </c>
      <c r="B10" s="15" t="n">
        <v>0.16</v>
      </c>
    </row>
    <row r="11">
      <c r="A11" t="inlineStr">
        <is>
          <t>Basmati Rice 5kg</t>
        </is>
      </c>
      <c r="B11" s="15" t="n">
        <v>0.34</v>
      </c>
    </row>
  </sheetData>
  <conditionalFormatting sqref="B2:B11">
    <cfRule type="colorScale" priority="1">
      <colorScale>
        <cfvo type="min"/>
        <cfvo type="percentile" val="50"/>
        <cfvo type="max"/>
        <color rgb="00F8696B"/>
        <color rgb="00FFEB84"/>
        <color rgb="0063BE7B"/>
      </colorScale>
    </cfRule>
    <cfRule type="cellIs" priority="2" operator="lessThan" dxfId="0">
      <formula>0.2</formula>
    </cfRule>
  </conditionalFormatting>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2" customWidth="1" min="4" max="4"/>
    <col width="11" customWidth="1" min="5" max="5"/>
    <col width="11" customWidth="1" min="6" max="6"/>
    <col width="11" customWidth="1" min="7" max="7"/>
    <col width="11" customWidth="1" min="8" max="8"/>
  </cols>
  <sheetData>
    <row r="1">
      <c r="A1" s="3" t="inlineStr">
        <is>
          <t>Category</t>
        </is>
      </c>
      <c r="B1" s="3" t="inlineStr">
        <is>
          <t>Revenue (AUD)</t>
        </is>
      </c>
    </row>
    <row r="2">
      <c r="A2" t="inlineStr">
        <is>
          <t>Snacks</t>
        </is>
      </c>
      <c r="B2" s="9" t="n">
        <v>21099</v>
      </c>
      <c r="D2" s="6" t="inlineStr">
        <is>
          <t>Your task</t>
        </is>
      </c>
    </row>
    <row r="3">
      <c r="A3" t="inlineStr">
        <is>
          <t>Bakery</t>
        </is>
      </c>
      <c r="B3" s="9" t="n">
        <v>7920</v>
      </c>
      <c r="D3" s="7" t="inlineStr">
        <is>
          <t>Select A1:B5, then Insert &gt; Column Chart (2-D clustered). Give it a clear title ("Revenue by category"), delete the legend (one series needs none) and keep the gridlines light. A clean chart says one thing well.</t>
        </is>
      </c>
    </row>
    <row r="4">
      <c r="A4" t="inlineStr">
        <is>
          <t>Dairy</t>
        </is>
      </c>
      <c r="B4" s="9" t="n">
        <v>7652</v>
      </c>
    </row>
    <row r="5">
      <c r="A5" t="inlineStr">
        <is>
          <t>Produce</t>
        </is>
      </c>
      <c r="B5" s="9" t="n">
        <v>8246</v>
      </c>
    </row>
    <row r="6"/>
    <row r="7"/>
    <row r="8"/>
  </sheetData>
  <mergeCells count="1">
    <mergeCell ref="D3:H8"/>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s>
  <sheetData>
    <row r="1">
      <c r="A1" s="3" t="inlineStr">
        <is>
          <t>Category</t>
        </is>
      </c>
      <c r="B1" s="3" t="inlineStr">
        <is>
          <t>Revenue (AUD)</t>
        </is>
      </c>
    </row>
    <row r="2">
      <c r="A2" t="inlineStr">
        <is>
          <t>Snacks</t>
        </is>
      </c>
      <c r="B2" s="9" t="n">
        <v>21099</v>
      </c>
    </row>
    <row r="3">
      <c r="A3" t="inlineStr">
        <is>
          <t>Bakery</t>
        </is>
      </c>
      <c r="B3" s="9" t="n">
        <v>7920</v>
      </c>
    </row>
    <row r="4">
      <c r="A4" t="inlineStr">
        <is>
          <t>Dairy</t>
        </is>
      </c>
      <c r="B4" s="9" t="n">
        <v>7652</v>
      </c>
    </row>
    <row r="5">
      <c r="A5" t="inlineStr">
        <is>
          <t>Produce</t>
        </is>
      </c>
      <c r="B5" s="9" t="n">
        <v>8246</v>
      </c>
    </row>
  </sheetData>
  <pageMargins left="0.75" right="0.75" top="1" bottom="1" header="0.5" footer="0.5"/>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5" customWidth="1" min="3" max="3"/>
    <col width="15" customWidth="1" min="4" max="4"/>
    <col width="9" customWidth="1" min="5" max="5"/>
    <col width="15" customWidth="1" min="6" max="6"/>
    <col width="14" customWidth="1" min="8" max="8"/>
    <col width="12" customWidth="1" min="9" max="9"/>
    <col width="12" customWidth="1" min="10" max="10"/>
    <col width="12" customWidth="1" min="11" max="11"/>
  </cols>
  <sheetData>
    <row r="1">
      <c r="A1" s="3" t="inlineStr">
        <is>
          <t>Product</t>
        </is>
      </c>
      <c r="B1" s="3" t="inlineStr">
        <is>
          <t>Category</t>
        </is>
      </c>
      <c r="C1" s="3" t="inlineStr">
        <is>
          <t>Supplier</t>
        </is>
      </c>
      <c r="D1" s="3" t="inlineStr">
        <is>
          <t>Case cost (GBP)</t>
        </is>
      </c>
      <c r="E1" s="3" t="inlineStr">
        <is>
          <t>Cases</t>
        </is>
      </c>
      <c r="F1" s="3" t="inlineStr">
        <is>
          <t>Revenue (AUD)</t>
        </is>
      </c>
      <c r="H1" s="6" t="inlineStr">
        <is>
          <t>Your task</t>
        </is>
      </c>
    </row>
    <row r="2">
      <c r="A2" t="inlineStr">
        <is>
          <t>Stacked Chips 12pk 300g</t>
        </is>
      </c>
      <c r="B2" t="inlineStr">
        <is>
          <t>Snacks</t>
        </is>
      </c>
      <c r="C2" t="inlineStr">
        <is>
          <t>Acme Foods</t>
        </is>
      </c>
      <c r="D2" s="8" t="n">
        <v>14.5</v>
      </c>
      <c r="E2" t="n">
        <v>260</v>
      </c>
      <c r="F2" s="8" t="n">
        <v>7540</v>
      </c>
      <c r="H2" s="7" t="inlineStr">
        <is>
          <t>Set the range as the print area (Page Layout &gt; Print Area), choose Landscape and Fit Sheet on One Page, repeat row 1 on every page (Print Titles &gt; Rows to repeat), and add a footer with the page number. File &gt; Print to preview a clean, one-page report.</t>
        </is>
      </c>
    </row>
    <row r="3">
      <c r="A3" t="inlineStr">
        <is>
          <t>Corn Puffs 12pk 150g</t>
        </is>
      </c>
      <c r="B3" t="inlineStr">
        <is>
          <t>Snacks</t>
        </is>
      </c>
      <c r="C3" t="inlineStr">
        <is>
          <t>Acme Foods</t>
        </is>
      </c>
      <c r="D3" s="8" t="n">
        <v>12.4</v>
      </c>
      <c r="E3" t="n">
        <v>200</v>
      </c>
      <c r="F3" s="8" t="n">
        <v>4960</v>
      </c>
    </row>
    <row r="4">
      <c r="A4" t="inlineStr">
        <is>
          <t>Rice Crackers 24pk 100g</t>
        </is>
      </c>
      <c r="B4" t="inlineStr">
        <is>
          <t>Snacks</t>
        </is>
      </c>
      <c r="C4" t="inlineStr">
        <is>
          <t>Harvest Lane</t>
        </is>
      </c>
      <c r="D4" s="8" t="n">
        <v>18.75</v>
      </c>
      <c r="E4" t="n">
        <v>140</v>
      </c>
      <c r="F4" s="8" t="n">
        <v>5250</v>
      </c>
    </row>
    <row r="5">
      <c r="A5" t="inlineStr">
        <is>
          <t>Popcorn 10pk 100g</t>
        </is>
      </c>
      <c r="B5" t="inlineStr">
        <is>
          <t>Snacks</t>
        </is>
      </c>
      <c r="C5" t="inlineStr">
        <is>
          <t>Harvest Lane</t>
        </is>
      </c>
      <c r="D5" s="8" t="n">
        <v>8.5</v>
      </c>
      <c r="E5" t="n">
        <v>260</v>
      </c>
      <c r="F5" s="8" t="n">
        <v>4420</v>
      </c>
    </row>
    <row r="6">
      <c r="A6" t="inlineStr">
        <is>
          <t>Sourdough Loaf 800g</t>
        </is>
      </c>
      <c r="B6" t="inlineStr">
        <is>
          <t>Bakery</t>
        </is>
      </c>
      <c r="C6" t="inlineStr">
        <is>
          <t>BrightHarvest</t>
        </is>
      </c>
      <c r="D6" s="8" t="n">
        <v>18.75</v>
      </c>
      <c r="E6" t="n">
        <v>220</v>
      </c>
      <c r="F6" s="8" t="n">
        <v>7920</v>
      </c>
    </row>
    <row r="7">
      <c r="A7" t="inlineStr">
        <is>
          <t>Cheddar Cheese 500g</t>
        </is>
      </c>
      <c r="B7" t="inlineStr">
        <is>
          <t>Dairy</t>
        </is>
      </c>
      <c r="C7" t="inlineStr">
        <is>
          <t>Coastal Co</t>
        </is>
      </c>
      <c r="D7" s="8" t="n">
        <v>24.5</v>
      </c>
      <c r="E7" t="n">
        <v>95</v>
      </c>
      <c r="F7" s="8" t="n">
        <v>4655</v>
      </c>
    </row>
    <row r="8">
      <c r="A8" t="inlineStr">
        <is>
          <t>Salted Butter 250g</t>
        </is>
      </c>
      <c r="B8" t="inlineStr">
        <is>
          <t>Dairy</t>
        </is>
      </c>
      <c r="C8" t="inlineStr">
        <is>
          <t>Coastal Co</t>
        </is>
      </c>
      <c r="D8" s="8" t="n">
        <v>15.9</v>
      </c>
      <c r="E8" t="n">
        <v>55</v>
      </c>
      <c r="F8" s="8" t="n">
        <v>1749</v>
      </c>
    </row>
    <row r="9">
      <c r="A9" t="inlineStr">
        <is>
          <t>Greek Yoghurt 1kg</t>
        </is>
      </c>
      <c r="B9" t="inlineStr">
        <is>
          <t>Dairy</t>
        </is>
      </c>
      <c r="C9" t="inlineStr">
        <is>
          <t>Coastal Co</t>
        </is>
      </c>
      <c r="D9" s="8" t="n">
        <v>6.4</v>
      </c>
      <c r="E9" t="n">
        <v>65</v>
      </c>
      <c r="F9" s="8" t="n">
        <v>1248</v>
      </c>
    </row>
    <row r="10">
      <c r="A10" t="inlineStr">
        <is>
          <t>Free-range Eggs 12pk</t>
        </is>
      </c>
      <c r="B10" t="inlineStr">
        <is>
          <t>Produce</t>
        </is>
      </c>
      <c r="C10" t="inlineStr">
        <is>
          <t>GreenField</t>
        </is>
      </c>
      <c r="D10" s="8" t="n">
        <v>12.2</v>
      </c>
      <c r="E10" t="n">
        <v>175</v>
      </c>
      <c r="F10" s="8" t="n">
        <v>4270</v>
      </c>
    </row>
    <row r="11">
      <c r="A11" t="inlineStr">
        <is>
          <t>Basmati Rice 5kg</t>
        </is>
      </c>
      <c r="B11" t="inlineStr">
        <is>
          <t>Produce</t>
        </is>
      </c>
      <c r="C11" t="inlineStr">
        <is>
          <t>GreenField</t>
        </is>
      </c>
      <c r="D11" s="8" t="n">
        <v>13.2</v>
      </c>
      <c r="E11" t="n">
        <v>40</v>
      </c>
      <c r="F11" s="8" t="n">
        <v>1056</v>
      </c>
    </row>
    <row r="12">
      <c r="A12" t="inlineStr">
        <is>
          <t>Orange Juice 2L</t>
        </is>
      </c>
      <c r="B12" t="inlineStr">
        <is>
          <t>Produce</t>
        </is>
      </c>
      <c r="C12" t="inlineStr">
        <is>
          <t>GreenField</t>
        </is>
      </c>
      <c r="D12" s="8" t="n">
        <v>4.8</v>
      </c>
      <c r="E12" t="n">
        <v>100</v>
      </c>
      <c r="F12" s="8" t="n">
        <v>1920</v>
      </c>
    </row>
    <row r="13">
      <c r="A13" t="inlineStr">
        <is>
          <t>Dark Chocolate 200g</t>
        </is>
      </c>
      <c r="B13" t="inlineStr">
        <is>
          <t>Snacks</t>
        </is>
      </c>
      <c r="C13" t="inlineStr">
        <is>
          <t>Acme Foods</t>
        </is>
      </c>
      <c r="D13" s="8" t="n">
        <v>3.9</v>
      </c>
      <c r="E13" t="n">
        <v>130</v>
      </c>
      <c r="F13" s="8" t="n">
        <v>2340</v>
      </c>
    </row>
  </sheetData>
  <mergeCells count="1">
    <mergeCell ref="H2:K6"/>
  </mergeCells>
  <pageMargins left="0.75" right="0.75" top="1" bottom="1" header="0.5" footer="0.5"/>
</worksheet>
</file>

<file path=xl/worksheets/sheet33.xml><?xml version="1.0" encoding="utf-8"?>
<worksheet xmlns="http://schemas.openxmlformats.org/spreadsheetml/2006/main">
  <sheetPr>
    <outlinePr summaryBelow="1" summaryRight="1"/>
    <pageSetUpPr fitToPage="1"/>
  </sheetPr>
  <dimension ref="A1:F13"/>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5" customWidth="1" min="3" max="3"/>
    <col width="15" customWidth="1" min="4" max="4"/>
    <col width="9" customWidth="1" min="5" max="5"/>
    <col width="15" customWidth="1" min="6" max="6"/>
  </cols>
  <sheetData>
    <row r="1">
      <c r="A1" s="3" t="inlineStr">
        <is>
          <t>Product</t>
        </is>
      </c>
      <c r="B1" s="3" t="inlineStr">
        <is>
          <t>Category</t>
        </is>
      </c>
      <c r="C1" s="3" t="inlineStr">
        <is>
          <t>Supplier</t>
        </is>
      </c>
      <c r="D1" s="3" t="inlineStr">
        <is>
          <t>Case cost (GBP)</t>
        </is>
      </c>
      <c r="E1" s="3" t="inlineStr">
        <is>
          <t>Cases</t>
        </is>
      </c>
      <c r="F1" s="3" t="inlineStr">
        <is>
          <t>Revenue (AUD)</t>
        </is>
      </c>
    </row>
    <row r="2">
      <c r="A2" t="inlineStr">
        <is>
          <t>Stacked Chips 12pk 300g</t>
        </is>
      </c>
      <c r="B2" t="inlineStr">
        <is>
          <t>Snacks</t>
        </is>
      </c>
      <c r="C2" t="inlineStr">
        <is>
          <t>Acme Foods</t>
        </is>
      </c>
      <c r="D2" s="8" t="n">
        <v>14.5</v>
      </c>
      <c r="E2" t="n">
        <v>260</v>
      </c>
      <c r="F2" s="8" t="n">
        <v>7540</v>
      </c>
    </row>
    <row r="3">
      <c r="A3" t="inlineStr">
        <is>
          <t>Corn Puffs 12pk 150g</t>
        </is>
      </c>
      <c r="B3" t="inlineStr">
        <is>
          <t>Snacks</t>
        </is>
      </c>
      <c r="C3" t="inlineStr">
        <is>
          <t>Acme Foods</t>
        </is>
      </c>
      <c r="D3" s="8" t="n">
        <v>12.4</v>
      </c>
      <c r="E3" t="n">
        <v>200</v>
      </c>
      <c r="F3" s="8" t="n">
        <v>4960</v>
      </c>
    </row>
    <row r="4">
      <c r="A4" t="inlineStr">
        <is>
          <t>Rice Crackers 24pk 100g</t>
        </is>
      </c>
      <c r="B4" t="inlineStr">
        <is>
          <t>Snacks</t>
        </is>
      </c>
      <c r="C4" t="inlineStr">
        <is>
          <t>Harvest Lane</t>
        </is>
      </c>
      <c r="D4" s="8" t="n">
        <v>18.75</v>
      </c>
      <c r="E4" t="n">
        <v>140</v>
      </c>
      <c r="F4" s="8" t="n">
        <v>5250</v>
      </c>
    </row>
    <row r="5">
      <c r="A5" t="inlineStr">
        <is>
          <t>Popcorn 10pk 100g</t>
        </is>
      </c>
      <c r="B5" t="inlineStr">
        <is>
          <t>Snacks</t>
        </is>
      </c>
      <c r="C5" t="inlineStr">
        <is>
          <t>Harvest Lane</t>
        </is>
      </c>
      <c r="D5" s="8" t="n">
        <v>8.5</v>
      </c>
      <c r="E5" t="n">
        <v>260</v>
      </c>
      <c r="F5" s="8" t="n">
        <v>4420</v>
      </c>
    </row>
    <row r="6">
      <c r="A6" t="inlineStr">
        <is>
          <t>Sourdough Loaf 800g</t>
        </is>
      </c>
      <c r="B6" t="inlineStr">
        <is>
          <t>Bakery</t>
        </is>
      </c>
      <c r="C6" t="inlineStr">
        <is>
          <t>BrightHarvest</t>
        </is>
      </c>
      <c r="D6" s="8" t="n">
        <v>18.75</v>
      </c>
      <c r="E6" t="n">
        <v>220</v>
      </c>
      <c r="F6" s="8" t="n">
        <v>7920</v>
      </c>
    </row>
    <row r="7">
      <c r="A7" t="inlineStr">
        <is>
          <t>Cheddar Cheese 500g</t>
        </is>
      </c>
      <c r="B7" t="inlineStr">
        <is>
          <t>Dairy</t>
        </is>
      </c>
      <c r="C7" t="inlineStr">
        <is>
          <t>Coastal Co</t>
        </is>
      </c>
      <c r="D7" s="8" t="n">
        <v>24.5</v>
      </c>
      <c r="E7" t="n">
        <v>95</v>
      </c>
      <c r="F7" s="8" t="n">
        <v>4655</v>
      </c>
    </row>
    <row r="8">
      <c r="A8" t="inlineStr">
        <is>
          <t>Salted Butter 250g</t>
        </is>
      </c>
      <c r="B8" t="inlineStr">
        <is>
          <t>Dairy</t>
        </is>
      </c>
      <c r="C8" t="inlineStr">
        <is>
          <t>Coastal Co</t>
        </is>
      </c>
      <c r="D8" s="8" t="n">
        <v>15.9</v>
      </c>
      <c r="E8" t="n">
        <v>55</v>
      </c>
      <c r="F8" s="8" t="n">
        <v>1749</v>
      </c>
    </row>
    <row r="9">
      <c r="A9" t="inlineStr">
        <is>
          <t>Greek Yoghurt 1kg</t>
        </is>
      </c>
      <c r="B9" t="inlineStr">
        <is>
          <t>Dairy</t>
        </is>
      </c>
      <c r="C9" t="inlineStr">
        <is>
          <t>Coastal Co</t>
        </is>
      </c>
      <c r="D9" s="8" t="n">
        <v>6.4</v>
      </c>
      <c r="E9" t="n">
        <v>65</v>
      </c>
      <c r="F9" s="8" t="n">
        <v>1248</v>
      </c>
    </row>
    <row r="10">
      <c r="A10" t="inlineStr">
        <is>
          <t>Free-range Eggs 12pk</t>
        </is>
      </c>
      <c r="B10" t="inlineStr">
        <is>
          <t>Produce</t>
        </is>
      </c>
      <c r="C10" t="inlineStr">
        <is>
          <t>GreenField</t>
        </is>
      </c>
      <c r="D10" s="8" t="n">
        <v>12.2</v>
      </c>
      <c r="E10" t="n">
        <v>175</v>
      </c>
      <c r="F10" s="8" t="n">
        <v>4270</v>
      </c>
    </row>
    <row r="11">
      <c r="A11" t="inlineStr">
        <is>
          <t>Basmati Rice 5kg</t>
        </is>
      </c>
      <c r="B11" t="inlineStr">
        <is>
          <t>Produce</t>
        </is>
      </c>
      <c r="C11" t="inlineStr">
        <is>
          <t>GreenField</t>
        </is>
      </c>
      <c r="D11" s="8" t="n">
        <v>13.2</v>
      </c>
      <c r="E11" t="n">
        <v>40</v>
      </c>
      <c r="F11" s="8" t="n">
        <v>1056</v>
      </c>
    </row>
    <row r="12">
      <c r="A12" t="inlineStr">
        <is>
          <t>Orange Juice 2L</t>
        </is>
      </c>
      <c r="B12" t="inlineStr">
        <is>
          <t>Produce</t>
        </is>
      </c>
      <c r="C12" t="inlineStr">
        <is>
          <t>GreenField</t>
        </is>
      </c>
      <c r="D12" s="8" t="n">
        <v>4.8</v>
      </c>
      <c r="E12" t="n">
        <v>100</v>
      </c>
      <c r="F12" s="8" t="n">
        <v>1920</v>
      </c>
    </row>
    <row r="13">
      <c r="A13" t="inlineStr">
        <is>
          <t>Dark Chocolate 200g</t>
        </is>
      </c>
      <c r="B13" t="inlineStr">
        <is>
          <t>Snacks</t>
        </is>
      </c>
      <c r="C13" t="inlineStr">
        <is>
          <t>Acme Foods</t>
        </is>
      </c>
      <c r="D13" s="8" t="n">
        <v>3.9</v>
      </c>
      <c r="E13" t="n">
        <v>130</v>
      </c>
      <c r="F13" s="8" t="n">
        <v>2340</v>
      </c>
    </row>
  </sheetData>
  <printOptions horizontalCentered="1"/>
  <pageMargins left="0.75" right="0.75" top="1" bottom="1" header="0.5" footer="0.5"/>
  <pageSetup orientation="landscape" fitToHeight="0" fitToWidth="1"/>
  <headerFooter>
    <oddHeader/>
    <oddFooter>&amp;CBuying report — page &amp;P of &amp;N</oddFooter>
    <evenHeader/>
    <evenFooter/>
    <firstHeader/>
    <firstFooter/>
  </headerFooter>
</worksheet>
</file>

<file path=xl/worksheets/sheet34.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24" customWidth="1" min="1" max="1"/>
    <col width="13" customWidth="1" min="3" max="3"/>
    <col width="13" customWidth="1" min="4" max="4"/>
    <col width="16" customWidth="1" min="6" max="6"/>
    <col width="10" customWidth="1" min="7" max="7"/>
    <col width="10" customWidth="1" min="8" max="8"/>
    <col width="10" customWidth="1" min="9" max="9"/>
  </cols>
  <sheetData>
    <row r="1">
      <c r="A1" s="3" t="inlineStr">
        <is>
          <t>Contact (Surname, First)</t>
        </is>
      </c>
      <c r="C1" s="3" t="inlineStr">
        <is>
          <t>First name</t>
        </is>
      </c>
      <c r="D1" s="3" t="inlineStr">
        <is>
          <t>Last name</t>
        </is>
      </c>
      <c r="F1" s="3" t="inlineStr">
        <is>
          <t>Product code</t>
        </is>
      </c>
      <c r="G1" s="3" t="inlineStr">
        <is>
          <t>Dept</t>
        </is>
      </c>
      <c r="H1" s="3" t="inlineStr">
        <is>
          <t>Number</t>
        </is>
      </c>
      <c r="I1" s="3" t="inlineStr">
        <is>
          <t>Size</t>
        </is>
      </c>
    </row>
    <row r="2">
      <c r="A2" t="inlineStr">
        <is>
          <t>Bianchi, Marco</t>
        </is>
      </c>
      <c r="C2" t="inlineStr">
        <is>
          <t>Marco</t>
        </is>
      </c>
      <c r="D2" t="inlineStr">
        <is>
          <t>Bianchi</t>
        </is>
      </c>
      <c r="F2" t="inlineStr">
        <is>
          <t>SNAK-001-300G</t>
        </is>
      </c>
    </row>
    <row r="3">
      <c r="A3" t="inlineStr">
        <is>
          <t>Okafor, Ada</t>
        </is>
      </c>
      <c r="F3" t="inlineStr">
        <is>
          <t>BAKE-014-800G</t>
        </is>
      </c>
    </row>
    <row r="4">
      <c r="A4" t="inlineStr">
        <is>
          <t>Nguyen, Linh</t>
        </is>
      </c>
      <c r="F4" t="inlineStr">
        <is>
          <t>DARY-007-500G</t>
        </is>
      </c>
    </row>
    <row r="5">
      <c r="A5" t="inlineStr">
        <is>
          <t>Smith, Jordan</t>
        </is>
      </c>
      <c r="F5" t="inlineStr">
        <is>
          <t>PROD-022-1KG</t>
        </is>
      </c>
    </row>
    <row r="6">
      <c r="A6" t="inlineStr">
        <is>
          <t>Patel, Riya</t>
        </is>
      </c>
      <c r="F6" t="inlineStr">
        <is>
          <t>SNAK-009-150G</t>
        </is>
      </c>
    </row>
    <row r="8">
      <c r="A8" s="6" t="inlineStr">
        <is>
          <t>Your task</t>
        </is>
      </c>
    </row>
    <row r="9">
      <c r="A9" s="7" t="inlineStr">
        <is>
          <t>Flash Fill: C2 already shows the first name — start typing C3 and press Ctrl+E to fill the rest; repeat for Last name in D. Text to Columns: select F2:F6, Data &gt; Text to Columns &gt; Delimited &gt; Other '-' to split code, number and size into G, H, I.</t>
        </is>
      </c>
    </row>
    <row r="10"/>
    <row r="11"/>
    <row r="12"/>
    <row r="13"/>
  </sheetData>
  <mergeCells count="1">
    <mergeCell ref="A9:D13"/>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4" customWidth="1" min="1" max="1"/>
    <col width="13" customWidth="1" min="3" max="3"/>
    <col width="13" customWidth="1" min="4" max="4"/>
    <col width="16" customWidth="1" min="6" max="6"/>
    <col width="10" customWidth="1" min="7" max="7"/>
    <col width="10" customWidth="1" min="8" max="8"/>
    <col width="10" customWidth="1" min="9" max="9"/>
  </cols>
  <sheetData>
    <row r="1">
      <c r="A1" s="3" t="inlineStr">
        <is>
          <t>Contact (Surname, First)</t>
        </is>
      </c>
      <c r="C1" s="3" t="inlineStr">
        <is>
          <t>First name</t>
        </is>
      </c>
      <c r="D1" s="3" t="inlineStr">
        <is>
          <t>Last name</t>
        </is>
      </c>
      <c r="F1" s="3" t="inlineStr">
        <is>
          <t>Product code</t>
        </is>
      </c>
      <c r="G1" s="3" t="inlineStr">
        <is>
          <t>Dept</t>
        </is>
      </c>
      <c r="H1" s="3" t="inlineStr">
        <is>
          <t>Number</t>
        </is>
      </c>
      <c r="I1" s="3" t="inlineStr">
        <is>
          <t>Size</t>
        </is>
      </c>
    </row>
    <row r="2">
      <c r="A2" t="inlineStr">
        <is>
          <t>Bianchi, Marco</t>
        </is>
      </c>
      <c r="C2" t="inlineStr">
        <is>
          <t>Marco</t>
        </is>
      </c>
      <c r="D2" t="inlineStr">
        <is>
          <t>Bianchi</t>
        </is>
      </c>
      <c r="F2" t="inlineStr">
        <is>
          <t>SNAK-001-300G</t>
        </is>
      </c>
      <c r="G2" t="inlineStr">
        <is>
          <t>SNAK</t>
        </is>
      </c>
      <c r="H2" t="inlineStr">
        <is>
          <t>001</t>
        </is>
      </c>
      <c r="I2" t="inlineStr">
        <is>
          <t>300G</t>
        </is>
      </c>
    </row>
    <row r="3">
      <c r="A3" t="inlineStr">
        <is>
          <t>Okafor, Ada</t>
        </is>
      </c>
      <c r="C3" t="inlineStr">
        <is>
          <t>Ada</t>
        </is>
      </c>
      <c r="D3" t="inlineStr">
        <is>
          <t>Okafor</t>
        </is>
      </c>
      <c r="F3" t="inlineStr">
        <is>
          <t>BAKE-014-800G</t>
        </is>
      </c>
      <c r="G3" t="inlineStr">
        <is>
          <t>BAKE</t>
        </is>
      </c>
      <c r="H3" t="inlineStr">
        <is>
          <t>014</t>
        </is>
      </c>
      <c r="I3" t="inlineStr">
        <is>
          <t>800G</t>
        </is>
      </c>
    </row>
    <row r="4">
      <c r="A4" t="inlineStr">
        <is>
          <t>Nguyen, Linh</t>
        </is>
      </c>
      <c r="C4" t="inlineStr">
        <is>
          <t>Linh</t>
        </is>
      </c>
      <c r="D4" t="inlineStr">
        <is>
          <t>Nguyen</t>
        </is>
      </c>
      <c r="F4" t="inlineStr">
        <is>
          <t>DARY-007-500G</t>
        </is>
      </c>
      <c r="G4" t="inlineStr">
        <is>
          <t>DARY</t>
        </is>
      </c>
      <c r="H4" t="inlineStr">
        <is>
          <t>007</t>
        </is>
      </c>
      <c r="I4" t="inlineStr">
        <is>
          <t>500G</t>
        </is>
      </c>
    </row>
    <row r="5">
      <c r="A5" t="inlineStr">
        <is>
          <t>Smith, Jordan</t>
        </is>
      </c>
      <c r="C5" t="inlineStr">
        <is>
          <t>Jordan</t>
        </is>
      </c>
      <c r="D5" t="inlineStr">
        <is>
          <t>Smith</t>
        </is>
      </c>
      <c r="F5" t="inlineStr">
        <is>
          <t>PROD-022-1KG</t>
        </is>
      </c>
      <c r="G5" t="inlineStr">
        <is>
          <t>PROD</t>
        </is>
      </c>
      <c r="H5" t="inlineStr">
        <is>
          <t>022</t>
        </is>
      </c>
      <c r="I5" t="inlineStr">
        <is>
          <t>1KG</t>
        </is>
      </c>
    </row>
    <row r="6">
      <c r="A6" t="inlineStr">
        <is>
          <t>Patel, Riya</t>
        </is>
      </c>
      <c r="C6" t="inlineStr">
        <is>
          <t>Riya</t>
        </is>
      </c>
      <c r="D6" t="inlineStr">
        <is>
          <t>Patel</t>
        </is>
      </c>
      <c r="F6" t="inlineStr">
        <is>
          <t>SNAK-009-150G</t>
        </is>
      </c>
      <c r="G6" t="inlineStr">
        <is>
          <t>SNAK</t>
        </is>
      </c>
      <c r="H6" t="inlineStr">
        <is>
          <t>009</t>
        </is>
      </c>
      <c r="I6" t="inlineStr">
        <is>
          <t>150G</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 width="10" customWidth="1" min="3" max="3"/>
    <col width="12" customWidth="1" min="4" max="4"/>
    <col width="12" customWidth="1" min="5" max="5"/>
    <col width="12" customWidth="1" min="6" max="6"/>
    <col width="12" customWidth="1" min="7" max="7"/>
    <col width="12" customWidth="1" min="8" max="8"/>
  </cols>
  <sheetData>
    <row r="1">
      <c r="A1" s="3" t="inlineStr">
        <is>
          <t>Product</t>
        </is>
      </c>
      <c r="B1" s="3" t="inlineStr">
        <is>
          <t>Revenue (AUD)</t>
        </is>
      </c>
      <c r="D1" s="6" t="inlineStr">
        <is>
          <t>Your task</t>
        </is>
      </c>
    </row>
    <row r="2">
      <c r="A2" t="inlineStr">
        <is>
          <t>Stacked Chips 12pk 300g</t>
        </is>
      </c>
      <c r="B2" s="9" t="n">
        <v>3480</v>
      </c>
      <c r="D2" s="7" t="inlineStr">
        <is>
          <t>Select the revenue figures in B2:B11, click the Name Box (left of the formula bar), type Revenue and press Enter. Then in D2 type  =SUM(Revenue)  and in D3 type =AVERAGE(Revenue) . Open Formulas &gt; Name Manager to see the name listed.</t>
        </is>
      </c>
    </row>
    <row r="3">
      <c r="A3" t="inlineStr">
        <is>
          <t>Corn Puffs 12pk 150g</t>
        </is>
      </c>
      <c r="B3" s="9" t="n">
        <v>2232</v>
      </c>
    </row>
    <row r="4">
      <c r="A4" t="inlineStr">
        <is>
          <t>Rice Crackers 24pk 100g</t>
        </is>
      </c>
      <c r="B4" s="9" t="n">
        <v>2625</v>
      </c>
    </row>
    <row r="5">
      <c r="A5" t="inlineStr">
        <is>
          <t>Popcorn 10pk 100g</t>
        </is>
      </c>
      <c r="B5" s="9" t="n">
        <v>2210</v>
      </c>
    </row>
    <row r="6">
      <c r="A6" t="inlineStr">
        <is>
          <t>Sourdough Loaf 800g</t>
        </is>
      </c>
      <c r="B6" s="9" t="n">
        <v>3060</v>
      </c>
    </row>
    <row r="7">
      <c r="A7" t="inlineStr">
        <is>
          <t>Cheddar Cheese 500g</t>
        </is>
      </c>
      <c r="B7" s="9" t="n">
        <v>2450</v>
      </c>
    </row>
    <row r="8">
      <c r="A8" t="inlineStr">
        <is>
          <t>Salted Butter 250g</t>
        </is>
      </c>
      <c r="B8" s="9" t="n">
        <v>1749</v>
      </c>
    </row>
    <row r="9">
      <c r="A9" t="inlineStr">
        <is>
          <t>Greek Yoghurt 1kg</t>
        </is>
      </c>
      <c r="B9" s="9" t="n">
        <v>1248</v>
      </c>
    </row>
    <row r="10">
      <c r="A10" t="inlineStr">
        <is>
          <t>Free-range Eggs 12pk</t>
        </is>
      </c>
      <c r="B10" s="9" t="n">
        <v>2318</v>
      </c>
    </row>
    <row r="11">
      <c r="A11" t="inlineStr">
        <is>
          <t>Basmati Rice 5kg</t>
        </is>
      </c>
      <c r="B11" s="9" t="n">
        <v>1056</v>
      </c>
    </row>
  </sheetData>
  <mergeCells count="1">
    <mergeCell ref="D2:H6"/>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 width="10" customWidth="1" min="3" max="3"/>
    <col width="12" customWidth="1" min="4" max="4"/>
  </cols>
  <sheetData>
    <row r="1">
      <c r="A1" s="3" t="inlineStr">
        <is>
          <t>Product</t>
        </is>
      </c>
      <c r="B1" s="3" t="inlineStr">
        <is>
          <t>Revenue (AUD)</t>
        </is>
      </c>
    </row>
    <row r="2">
      <c r="A2" t="inlineStr">
        <is>
          <t>Stacked Chips 12pk 300g</t>
        </is>
      </c>
      <c r="B2" s="9" t="n">
        <v>3480</v>
      </c>
      <c r="C2" t="inlineStr">
        <is>
          <t>Total</t>
        </is>
      </c>
      <c r="D2" s="9">
        <f>SUM(Revenue)</f>
        <v/>
      </c>
    </row>
    <row r="3">
      <c r="A3" t="inlineStr">
        <is>
          <t>Corn Puffs 12pk 150g</t>
        </is>
      </c>
      <c r="B3" s="9" t="n">
        <v>2232</v>
      </c>
      <c r="C3" t="inlineStr">
        <is>
          <t>Average</t>
        </is>
      </c>
      <c r="D3" s="9">
        <f>AVERAGE(Revenue)</f>
        <v/>
      </c>
    </row>
    <row r="4">
      <c r="A4" t="inlineStr">
        <is>
          <t>Rice Crackers 24pk 100g</t>
        </is>
      </c>
      <c r="B4" s="9" t="n">
        <v>2625</v>
      </c>
    </row>
    <row r="5">
      <c r="A5" t="inlineStr">
        <is>
          <t>Popcorn 10pk 100g</t>
        </is>
      </c>
      <c r="B5" s="9" t="n">
        <v>2210</v>
      </c>
    </row>
    <row r="6">
      <c r="A6" t="inlineStr">
        <is>
          <t>Sourdough Loaf 800g</t>
        </is>
      </c>
      <c r="B6" s="9" t="n">
        <v>3060</v>
      </c>
    </row>
    <row r="7">
      <c r="A7" t="inlineStr">
        <is>
          <t>Cheddar Cheese 500g</t>
        </is>
      </c>
      <c r="B7" s="9" t="n">
        <v>2450</v>
      </c>
    </row>
    <row r="8">
      <c r="A8" t="inlineStr">
        <is>
          <t>Salted Butter 250g</t>
        </is>
      </c>
      <c r="B8" s="9" t="n">
        <v>1749</v>
      </c>
    </row>
    <row r="9">
      <c r="A9" t="inlineStr">
        <is>
          <t>Greek Yoghurt 1kg</t>
        </is>
      </c>
      <c r="B9" s="9" t="n">
        <v>1248</v>
      </c>
    </row>
    <row r="10">
      <c r="A10" t="inlineStr">
        <is>
          <t>Free-range Eggs 12pk</t>
        </is>
      </c>
      <c r="B10" s="9" t="n">
        <v>2318</v>
      </c>
    </row>
    <row r="11">
      <c r="A11" t="inlineStr">
        <is>
          <t>Basmati Rice 5kg</t>
        </is>
      </c>
      <c r="B11" s="9" t="n">
        <v>1056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2026-07-04T03:05:42Z</dcterms:created>
  <dcterms:modified xsi:type="dcterms:W3CDTF">2026-07-04T03:05:42Z</dcterms:modified>
</cp:coreProperties>
</file>